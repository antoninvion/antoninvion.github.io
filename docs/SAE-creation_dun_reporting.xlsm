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3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4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5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antonin_vion_etu_univ-poitiers_fr/Documents/"/>
    </mc:Choice>
  </mc:AlternateContent>
  <xr:revisionPtr revIDLastSave="0" documentId="8_{CF0AA773-DCBE-49BF-825E-EF636074AC35}" xr6:coauthVersionLast="47" xr6:coauthVersionMax="47" xr10:uidLastSave="{00000000-0000-0000-0000-000000000000}"/>
  <bookViews>
    <workbookView xWindow="-120" yWindow="-120" windowWidth="20730" windowHeight="11160" xr2:uid="{801BFD72-BA61-4305-BD95-A31375DFF51B}"/>
  </bookViews>
  <sheets>
    <sheet name="Menu" sheetId="3" r:id="rId1"/>
    <sheet name="Note" sheetId="1" r:id="rId2"/>
    <sheet name="Tableau de bord" sheetId="10" r:id="rId3"/>
    <sheet name="Mon année" sheetId="11" r:id="rId4"/>
    <sheet name="Coef - BUT1" sheetId="2" r:id="rId5"/>
  </sheets>
  <functionGroups builtInGroupCount="19"/>
  <definedNames>
    <definedName name="_xlchart.v1.0" hidden="1">Note!$A$10:$A$13</definedName>
    <definedName name="_xlchart.v1.1" hidden="1">Note!$B$10:$B$13</definedName>
    <definedName name="_xlchart.v1.2" hidden="1">Note!$A$16:$A$19</definedName>
    <definedName name="_xlchart.v1.3" hidden="1">Note!$B$16:$B$19</definedName>
    <definedName name="_xleta.IF" hidden="1" xlm="1">#NAME?</definedName>
    <definedName name="_xleta.IFS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  <c r="C9" i="1" s="1" a="1"/>
  <c r="C9" i="1" s="1"/>
  <c r="B14" i="1"/>
  <c r="C21" i="1" a="1"/>
  <c r="C21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54" i="1" s="1" a="1"/>
  <c r="C54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45" i="1" s="1" a="1"/>
  <c r="C45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34" i="1" s="1" a="1"/>
  <c r="C34" i="1" s="1"/>
  <c r="C28" i="1" a="1"/>
  <c r="C28" i="1" s="1"/>
  <c r="C27" i="1" a="1"/>
  <c r="C27" i="1" s="1"/>
  <c r="C26" i="1" a="1"/>
  <c r="C26" i="1" s="1"/>
  <c r="C25" i="1" a="1"/>
  <c r="C25" i="1" s="1"/>
  <c r="C22" i="1" a="1"/>
  <c r="C22" i="1" s="1"/>
  <c r="C20" i="1" a="1"/>
  <c r="C20" i="1" s="1"/>
  <c r="C19" i="1" a="1"/>
  <c r="C19" i="1" s="1"/>
  <c r="C18" i="1" a="1"/>
  <c r="C18" i="1" s="1"/>
  <c r="C17" i="1" a="1"/>
  <c r="C17" i="1" s="1"/>
  <c r="C23" i="1" s="1" a="1"/>
  <c r="C23" i="1" s="1"/>
  <c r="C16" i="1" a="1"/>
  <c r="C16" i="1" s="1"/>
  <c r="C14" i="1" a="1"/>
  <c r="C14" i="1" s="1"/>
  <c r="C13" i="1" a="1"/>
  <c r="C13" i="1" s="1"/>
  <c r="C15" i="1" s="1" a="1"/>
  <c r="C15" i="1" s="1"/>
  <c r="C12" i="1" a="1"/>
  <c r="C12" i="1" s="1"/>
  <c r="C11" i="1" a="1"/>
  <c r="C11" i="1" s="1"/>
  <c r="C10" i="1" a="1"/>
  <c r="C10" i="1" s="1"/>
  <c r="C8" i="1" a="1"/>
  <c r="C8" i="1" s="1"/>
  <c r="C4" i="1" a="1"/>
  <c r="C4" i="1" s="1"/>
  <c r="C5" i="1" a="1"/>
  <c r="C5" i="1" s="1"/>
  <c r="C6" i="1" a="1"/>
  <c r="C6" i="1" s="1"/>
  <c r="C7" i="1" a="1"/>
  <c r="C7" i="1" s="1"/>
  <c r="B47" i="1"/>
  <c r="B48" i="1"/>
  <c r="B49" i="1"/>
  <c r="B50" i="1"/>
  <c r="B51" i="1"/>
  <c r="B52" i="1"/>
  <c r="B53" i="1"/>
  <c r="B46" i="1"/>
  <c r="B36" i="1"/>
  <c r="B37" i="1"/>
  <c r="B38" i="1"/>
  <c r="B39" i="1"/>
  <c r="B40" i="1"/>
  <c r="B41" i="1"/>
  <c r="B42" i="1"/>
  <c r="B43" i="1"/>
  <c r="B44" i="1"/>
  <c r="B35" i="1"/>
  <c r="B26" i="1"/>
  <c r="B27" i="1"/>
  <c r="B28" i="1"/>
  <c r="B29" i="1"/>
  <c r="B30" i="1"/>
  <c r="B31" i="1"/>
  <c r="B32" i="1"/>
  <c r="B33" i="1"/>
  <c r="B25" i="1"/>
  <c r="B17" i="1"/>
  <c r="B18" i="1"/>
  <c r="B19" i="1"/>
  <c r="B20" i="1"/>
  <c r="B21" i="1"/>
  <c r="B22" i="1"/>
  <c r="B16" i="1"/>
  <c r="B11" i="1"/>
  <c r="B12" i="1"/>
  <c r="B13" i="1"/>
  <c r="B10" i="1"/>
  <c r="B8" i="1"/>
  <c r="B4" i="1"/>
  <c r="B5" i="1"/>
  <c r="B6" i="1"/>
  <c r="B7" i="1"/>
  <c r="B3" i="1"/>
  <c r="M8" i="11" l="1"/>
  <c r="U11" i="11" s="1"/>
  <c r="H17" i="11"/>
  <c r="V13" i="11" s="1"/>
  <c r="H16" i="11"/>
  <c r="V12" i="11" s="1"/>
  <c r="H15" i="11"/>
  <c r="V11" i="11" s="1"/>
  <c r="G17" i="11"/>
  <c r="V8" i="11" s="1"/>
  <c r="G16" i="11"/>
  <c r="V7" i="11" s="1"/>
  <c r="G15" i="11"/>
  <c r="H10" i="11"/>
  <c r="W13" i="11" s="1"/>
  <c r="G10" i="11"/>
  <c r="W8" i="11" s="1"/>
  <c r="G8" i="11"/>
  <c r="G9" i="11"/>
  <c r="W7" i="11" s="1"/>
  <c r="H9" i="11"/>
  <c r="W12" i="11" s="1"/>
  <c r="H8" i="11"/>
  <c r="W11" i="11" s="1"/>
  <c r="M17" i="11" l="1"/>
  <c r="L17" i="11"/>
  <c r="M16" i="11"/>
  <c r="L16" i="11"/>
  <c r="L15" i="11"/>
  <c r="M15" i="11"/>
  <c r="W6" i="11"/>
  <c r="V6" i="11"/>
  <c r="L9" i="11"/>
  <c r="U7" i="11" s="1"/>
  <c r="L10" i="11"/>
  <c r="U8" i="11" s="1"/>
  <c r="M9" i="11"/>
  <c r="U12" i="11" s="1"/>
  <c r="M10" i="11"/>
  <c r="U13" i="11" s="1"/>
  <c r="L8" i="11"/>
  <c r="U6" i="11" s="1"/>
  <c r="L18" i="11" l="1"/>
  <c r="H2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<sst xmlns="http://schemas.openxmlformats.org/spreadsheetml/2006/main" count="153" uniqueCount="76">
  <si>
    <t>Tableur et Reporting</t>
  </si>
  <si>
    <t>Bases de données relationnelles 1</t>
  </si>
  <si>
    <t>Bases de la programmation 1</t>
  </si>
  <si>
    <t xml:space="preserve">SAÉ - Reporting à partir de données stockées dans un SGBD relationnel </t>
  </si>
  <si>
    <t>SAÉ - Écriture et lecture de fichiers de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</si>
  <si>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</si>
  <si>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</si>
  <si>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</si>
  <si>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</si>
  <si>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</si>
  <si>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</si>
  <si>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</si>
  <si>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</si>
  <si>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</si>
  <si>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</si>
  <si>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PPP1</t>
  </si>
  <si>
    <t>Semestre 1</t>
  </si>
  <si>
    <t>Compétence 1 :
Traiter des données à des fins décisionnelles</t>
  </si>
  <si>
    <t>Compétence 2 :
Analyser statistiquement les données</t>
  </si>
  <si>
    <t>Compétence 3 :
Valoriser une production dans un contexte professionnel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</si>
  <si>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</si>
  <si>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</si>
  <si>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</si>
  <si>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</si>
  <si>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</si>
  <si>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</si>
  <si>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</si>
  <si>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</si>
  <si>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</si>
  <si>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</si>
  <si>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</si>
  <si>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</si>
  <si>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</si>
  <si>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</si>
  <si>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</si>
  <si>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</si>
  <si>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</si>
  <si>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</si>
  <si>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</si>
  <si>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</si>
  <si>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Coefficient</t>
  </si>
  <si>
    <t>Compétence 1 : Traiter des données à des fins décisionnelles</t>
  </si>
  <si>
    <t>Compétence 2 : Analyser statistiquement les données</t>
  </si>
  <si>
    <t>Compétence 3 : Valoriser une production dans un contexte professionnel</t>
  </si>
  <si>
    <t>Colonne1</t>
  </si>
  <si>
    <t>Devoir n°1</t>
  </si>
  <si>
    <t>Devoir n°2</t>
  </si>
  <si>
    <t>Devoir n°3</t>
  </si>
  <si>
    <t>Devoir n°4</t>
  </si>
  <si>
    <t>Devoir n°5</t>
  </si>
  <si>
    <t>Moyenne</t>
  </si>
  <si>
    <t>Votre outil personnel de gestion de notes</t>
  </si>
  <si>
    <t>Bienvenue sur EduGest !</t>
  </si>
  <si>
    <t xml:space="preserve">Semestre 1 </t>
  </si>
  <si>
    <t>SAE Compétence 1 : Traiter des données à des fins décisionnelles</t>
  </si>
  <si>
    <t>SAE Compétence 2 : Analyser statistiquement les données</t>
  </si>
  <si>
    <t>SAE Compétence 3 : Valoriser une production dans un contexte professionnel</t>
  </si>
  <si>
    <t>Competence 1</t>
  </si>
  <si>
    <t>Competence2</t>
  </si>
  <si>
    <t>competence3</t>
  </si>
  <si>
    <t>Meilleur performance</t>
  </si>
  <si>
    <t>Worst</t>
  </si>
  <si>
    <t>Niveau 1</t>
  </si>
  <si>
    <t>C1</t>
  </si>
  <si>
    <t>C2</t>
  </si>
  <si>
    <t>C3</t>
  </si>
  <si>
    <t>SEMESTRE1</t>
  </si>
  <si>
    <t xml:space="preserve">Décision du jury : </t>
  </si>
  <si>
    <t>Moyenne Annuel par compétence</t>
  </si>
  <si>
    <t xml:space="preserve">Moyenne annuel </t>
  </si>
  <si>
    <t>Ressources Competence 1</t>
  </si>
  <si>
    <t>Ressources Competence 2</t>
  </si>
  <si>
    <t>Ressources compétence 3</t>
  </si>
  <si>
    <t>Nombre d'absences :</t>
  </si>
  <si>
    <t>S1</t>
  </si>
  <si>
    <t>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</si>
</sst>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b/>
      <sz val="14"/>
      <color theme="0"/>
      <name val="Segoe UI"/>
      <family val="2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Segoe UI"/>
      <family val="2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0"/>
      <name val="Times New Roman"/>
      <family val="1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6"/>
      <color theme="0"/>
      <name val="Segoe UI"/>
      <family val="2"/>
    </font>
    <font>
      <b/>
      <sz val="11"/>
      <name val="Calibri"/>
      <family val="2"/>
      <scheme val="minor"/>
    </font>
    <font>
      <b/>
      <sz val="20"/>
      <color theme="0"/>
      <name val="Segoe UI"/>
      <family val="2"/>
    </font>
    <font>
      <b/>
      <sz val="11"/>
      <color theme="1"/>
      <name val="Segoe UI"/>
      <family val="2"/>
    </font>
    <font>
      <b/>
      <sz val="2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A75C4"/>
        <bgColor indexed="64"/>
      </patternFill>
    </fill>
    <fill>
      <patternFill patternType="solid">
        <fgColor rgb="FF1F4D7A"/>
        <bgColor indexed="64"/>
      </patternFill>
    </fill>
    <fill>
      <patternFill patternType="solid">
        <fgColor rgb="FF678FCF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9" fontId="15" fillId="0" borderId="0" applyFont="0" applyFill="0" applyBorder="0" applyAlignment="0" applyProtection="0"/>
  </cellStyleXfs>
  <cellXfs count="10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6" borderId="0" xfId="0" applyFill="1"/>
    <xf numFmtId="0" fontId="8" fillId="7" borderId="1" xfId="0" applyFont="1" applyFill="1" applyBorder="1" applyAlignment="1">
      <alignment vertical="center"/>
    </xf>
    <xf numFmtId="0" fontId="8" fillId="8" borderId="1" xfId="0" applyFont="1" applyFill="1" applyBorder="1" applyAlignment="1">
      <alignment vertical="center" wrapText="1"/>
    </xf>
    <xf numFmtId="0" fontId="8" fillId="9" borderId="1" xfId="0" applyFont="1" applyFill="1" applyBorder="1" applyAlignment="1">
      <alignment vertical="center" wrapText="1"/>
    </xf>
    <xf numFmtId="0" fontId="8" fillId="9" borderId="2" xfId="0" applyFont="1" applyFill="1" applyBorder="1" applyAlignment="1">
      <alignment vertical="center"/>
    </xf>
    <xf numFmtId="0" fontId="8" fillId="9" borderId="2" xfId="0" applyFont="1" applyFill="1" applyBorder="1" applyAlignment="1">
      <alignment vertical="center" wrapText="1"/>
    </xf>
    <xf numFmtId="0" fontId="9" fillId="3" borderId="2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 wrapText="1"/>
    </xf>
    <xf numFmtId="0" fontId="8" fillId="7" borderId="2" xfId="0" applyFont="1" applyFill="1" applyBorder="1" applyAlignment="1">
      <alignment vertical="center"/>
    </xf>
    <xf numFmtId="0" fontId="8" fillId="5" borderId="1" xfId="0" applyFont="1" applyFill="1" applyBorder="1" applyAlignment="1">
      <alignment vertical="center" wrapText="1"/>
    </xf>
    <xf numFmtId="0" fontId="8" fillId="5" borderId="2" xfId="0" applyFont="1" applyFill="1" applyBorder="1" applyAlignment="1">
      <alignment vertical="center" wrapText="1"/>
    </xf>
    <xf numFmtId="0" fontId="8" fillId="5" borderId="2" xfId="0" applyFont="1" applyFill="1" applyBorder="1" applyAlignment="1">
      <alignment vertical="center"/>
    </xf>
    <xf numFmtId="0" fontId="0" fillId="10" borderId="0" xfId="0" applyFill="1"/>
    <xf numFmtId="0" fontId="10" fillId="5" borderId="0" xfId="0" applyFont="1" applyFill="1" applyAlignment="1">
      <alignment vertical="top"/>
    </xf>
    <xf numFmtId="0" fontId="6" fillId="5" borderId="0" xfId="0" applyFont="1" applyFill="1" applyAlignment="1">
      <alignment vertical="top"/>
    </xf>
    <xf numFmtId="0" fontId="7" fillId="5" borderId="0" xfId="0" applyFont="1" applyFill="1" applyAlignment="1">
      <alignment vertical="center" wrapText="1"/>
    </xf>
    <xf numFmtId="0" fontId="8" fillId="0" borderId="14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6" fillId="10" borderId="0" xfId="0" applyFont="1" applyFill="1"/>
    <xf numFmtId="0" fontId="12" fillId="0" borderId="18" xfId="0" applyFont="1" applyBorder="1"/>
    <xf numFmtId="0" fontId="12" fillId="0" borderId="12" xfId="0" applyFont="1" applyBorder="1"/>
    <xf numFmtId="0" fontId="8" fillId="0" borderId="14" xfId="0" applyFont="1" applyBorder="1" applyAlignment="1">
      <alignment vertical="center" wrapText="1"/>
    </xf>
    <xf numFmtId="0" fontId="8" fillId="0" borderId="12" xfId="0" applyFont="1" applyBorder="1"/>
    <xf numFmtId="0" fontId="13" fillId="0" borderId="17" xfId="0" applyFont="1" applyBorder="1"/>
    <xf numFmtId="0" fontId="13" fillId="0" borderId="12" xfId="0" applyFont="1" applyBorder="1"/>
    <xf numFmtId="0" fontId="14" fillId="0" borderId="12" xfId="0" applyFont="1" applyBorder="1" applyAlignment="1">
      <alignment vertical="center" wrapText="1"/>
    </xf>
    <xf numFmtId="0" fontId="14" fillId="0" borderId="12" xfId="0" applyFont="1" applyBorder="1"/>
    <xf numFmtId="0" fontId="8" fillId="11" borderId="0" xfId="0" applyFont="1" applyFill="1" applyAlignment="1">
      <alignment vertical="center" wrapText="1"/>
    </xf>
    <xf numFmtId="0" fontId="8" fillId="11" borderId="0" xfId="0" applyFont="1" applyFill="1" applyAlignment="1">
      <alignment vertical="center"/>
    </xf>
    <xf numFmtId="0" fontId="8" fillId="11" borderId="0" xfId="0" applyFont="1" applyFill="1"/>
    <xf numFmtId="0" fontId="0" fillId="11" borderId="0" xfId="0" applyFill="1"/>
    <xf numFmtId="0" fontId="11" fillId="11" borderId="0" xfId="0" applyFont="1" applyFill="1"/>
    <xf numFmtId="0" fontId="17" fillId="6" borderId="0" xfId="0" applyFont="1" applyFill="1" applyAlignment="1">
      <alignment vertical="center"/>
    </xf>
    <xf numFmtId="0" fontId="19" fillId="6" borderId="1" xfId="0" applyFont="1" applyFill="1" applyBorder="1" applyAlignment="1">
      <alignment vertical="center" wrapText="1"/>
    </xf>
    <xf numFmtId="0" fontId="19" fillId="6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horizontal="center" vertical="center" wrapText="1"/>
    </xf>
    <xf numFmtId="0" fontId="21" fillId="5" borderId="1" xfId="0" applyFont="1" applyFill="1" applyBorder="1" applyAlignment="1">
      <alignment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9" fillId="12" borderId="6" xfId="0" applyFont="1" applyFill="1" applyBorder="1" applyAlignment="1">
      <alignment vertical="center"/>
    </xf>
    <xf numFmtId="0" fontId="19" fillId="12" borderId="6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vertical="center" wrapText="1"/>
    </xf>
    <xf numFmtId="0" fontId="19" fillId="12" borderId="1" xfId="0" applyFont="1" applyFill="1" applyBorder="1" applyAlignment="1">
      <alignment vertical="center"/>
    </xf>
    <xf numFmtId="0" fontId="19" fillId="12" borderId="1" xfId="0" applyFont="1" applyFill="1" applyBorder="1" applyAlignment="1">
      <alignment horizontal="center" vertical="center"/>
    </xf>
    <xf numFmtId="0" fontId="23" fillId="10" borderId="0" xfId="0" applyFont="1" applyFill="1"/>
    <xf numFmtId="0" fontId="12" fillId="10" borderId="0" xfId="0" applyFont="1" applyFill="1"/>
    <xf numFmtId="0" fontId="12" fillId="10" borderId="0" xfId="0" applyFont="1" applyFill="1" applyAlignment="1">
      <alignment vertical="center"/>
    </xf>
    <xf numFmtId="9" fontId="12" fillId="10" borderId="0" xfId="1" applyFont="1" applyFill="1"/>
    <xf numFmtId="0" fontId="22" fillId="10" borderId="0" xfId="0" applyFont="1" applyFill="1"/>
    <xf numFmtId="0" fontId="22" fillId="11" borderId="0" xfId="0" applyFont="1" applyFill="1"/>
    <xf numFmtId="0" fontId="22" fillId="11" borderId="0" xfId="0" applyFont="1" applyFill="1" applyAlignment="1">
      <alignment horizontal="right"/>
    </xf>
    <xf numFmtId="0" fontId="6" fillId="11" borderId="0" xfId="0" applyFont="1" applyFill="1"/>
    <xf numFmtId="2" fontId="0" fillId="0" borderId="0" xfId="0" applyNumberFormat="1"/>
    <xf numFmtId="2" fontId="12" fillId="10" borderId="0" xfId="0" applyNumberFormat="1" applyFont="1" applyFill="1"/>
    <xf numFmtId="0" fontId="25" fillId="13" borderId="0" xfId="0" applyFont="1" applyFill="1" applyAlignment="1">
      <alignment horizontal="right"/>
    </xf>
    <xf numFmtId="2" fontId="25" fillId="13" borderId="0" xfId="0" applyNumberFormat="1" applyFont="1" applyFill="1"/>
    <xf numFmtId="0" fontId="26" fillId="6" borderId="0" xfId="0" applyFont="1" applyFill="1" applyAlignment="1">
      <alignment vertical="center"/>
    </xf>
    <xf numFmtId="2" fontId="25" fillId="13" borderId="0" xfId="0" applyNumberFormat="1" applyFont="1" applyFill="1" applyAlignment="1">
      <alignment horizontal="right"/>
    </xf>
    <xf numFmtId="0" fontId="27" fillId="14" borderId="0" xfId="0" applyFont="1" applyFill="1"/>
    <xf numFmtId="2" fontId="14" fillId="10" borderId="0" xfId="0" applyNumberFormat="1" applyFont="1" applyFill="1"/>
    <xf numFmtId="0" fontId="6" fillId="5" borderId="0" xfId="0" applyFont="1" applyFill="1" applyAlignment="1">
      <alignment horizontal="center" vertical="center"/>
    </xf>
    <xf numFmtId="0" fontId="0" fillId="4" borderId="0" xfId="0" applyFill="1"/>
    <xf numFmtId="0" fontId="13" fillId="4" borderId="0" xfId="0" applyFont="1" applyFill="1"/>
    <xf numFmtId="0" fontId="12" fillId="0" borderId="0" xfId="0" applyFont="1"/>
    <xf numFmtId="0" fontId="28" fillId="4" borderId="2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12" fillId="4" borderId="19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3" fillId="4" borderId="21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0" fontId="18" fillId="6" borderId="5" xfId="0" applyFont="1" applyFill="1" applyBorder="1" applyAlignment="1">
      <alignment horizontal="left" vertical="center" wrapText="1"/>
    </xf>
    <xf numFmtId="0" fontId="18" fillId="6" borderId="4" xfId="0" applyFont="1" applyFill="1" applyBorder="1" applyAlignment="1">
      <alignment horizontal="left" vertical="center" wrapText="1"/>
    </xf>
    <xf numFmtId="0" fontId="18" fillId="6" borderId="3" xfId="0" applyFont="1" applyFill="1" applyBorder="1" applyAlignment="1">
      <alignment horizontal="left" vertical="center" wrapText="1"/>
    </xf>
    <xf numFmtId="0" fontId="18" fillId="5" borderId="5" xfId="0" applyFont="1" applyFill="1" applyBorder="1" applyAlignment="1">
      <alignment horizontal="left" vertical="center" wrapText="1"/>
    </xf>
    <xf numFmtId="0" fontId="18" fillId="5" borderId="4" xfId="0" applyFont="1" applyFill="1" applyBorder="1" applyAlignment="1">
      <alignment horizontal="left" vertical="center" wrapText="1"/>
    </xf>
    <xf numFmtId="0" fontId="18" fillId="5" borderId="3" xfId="0" applyFont="1" applyFill="1" applyBorder="1" applyAlignment="1">
      <alignment horizontal="left" vertical="center" wrapText="1"/>
    </xf>
    <xf numFmtId="0" fontId="6" fillId="11" borderId="7" xfId="0" applyFont="1" applyFill="1" applyBorder="1" applyAlignment="1">
      <alignment horizontal="center"/>
    </xf>
    <xf numFmtId="0" fontId="18" fillId="12" borderId="11" xfId="0" applyFont="1" applyFill="1" applyBorder="1" applyAlignment="1">
      <alignment horizontal="left" vertical="center" wrapText="1"/>
    </xf>
    <xf numFmtId="0" fontId="18" fillId="12" borderId="4" xfId="0" applyFont="1" applyFill="1" applyBorder="1" applyAlignment="1">
      <alignment horizontal="left" vertical="center" wrapText="1"/>
    </xf>
    <xf numFmtId="0" fontId="18" fillId="12" borderId="3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horizontal="center"/>
    </xf>
    <xf numFmtId="0" fontId="18" fillId="12" borderId="5" xfId="0" applyFont="1" applyFill="1" applyBorder="1" applyAlignment="1">
      <alignment horizontal="left" vertical="center" wrapText="1"/>
    </xf>
    <xf numFmtId="0" fontId="20" fillId="5" borderId="10" xfId="0" applyFont="1" applyFill="1" applyBorder="1" applyAlignment="1">
      <alignment horizontal="left" vertical="center" wrapText="1"/>
    </xf>
    <xf numFmtId="0" fontId="20" fillId="5" borderId="9" xfId="0" applyFont="1" applyFill="1" applyBorder="1" applyAlignment="1">
      <alignment horizontal="left" vertical="center" wrapText="1"/>
    </xf>
    <xf numFmtId="0" fontId="20" fillId="5" borderId="8" xfId="0" applyFont="1" applyFill="1" applyBorder="1" applyAlignment="1">
      <alignment horizontal="left" vertical="center" wrapText="1"/>
    </xf>
  </cellXfs>
  <cellStyles count="2">
    <cellStyle name="Normal" xfId="0" builtinId="0"/>
    <cellStyle name="Pourcentage" xfId="1" builtinId="5"/>
  </cellStyles>
  <dxfs count="1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D847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color theme="1"/>
      </font>
      <fill>
        <gradientFill degree="90">
          <stop position="0">
            <color theme="2"/>
          </stop>
          <stop position="1">
            <color theme="1"/>
          </stop>
        </gradient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Dark1 2" pivot="0" table="0" count="10" xr9:uid="{4B52EFDE-E5B2-43CC-BC9B-0589AA181492}">
      <tableStyleElement type="wholeTable" dxfId="13"/>
      <tableStyleElement type="headerRow" dxfId="12"/>
    </tableStyle>
  </tableStyles>
  <colors>
    <mruColors>
      <color rgb="FF305496"/>
      <color rgb="FFD4E2F2"/>
      <color rgb="FF678FCF"/>
      <color rgb="FF3A75C4"/>
      <color rgb="FF0000CC"/>
      <color rgb="FF003399"/>
      <color rgb="FF4472C4"/>
      <color rgb="FF1F4D7A"/>
      <color rgb="FF000000"/>
      <color rgb="FFADD8E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</a:rPr>
              <a:t>Comparaison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</a:rPr>
              <a:t> des moyennes par compétence des semestres</a:t>
            </a:r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13648293963254E-2"/>
          <c:y val="0.17171296296296298"/>
          <c:w val="0.90286351706036749"/>
          <c:h val="0.513270997375328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 année'!$L$7</c:f>
              <c:strCache>
                <c:ptCount val="1"/>
                <c:pt idx="0">
                  <c:v>Semestre 1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année'!$K$8:$K$10</c:f>
              <c:strCache>
                <c:ptCount val="3"/>
                <c:pt idx="0">
                  <c:v>Compétence 1 : Traiter des données à des fins décisionnelles</c:v>
                </c:pt>
                <c:pt idx="1">
                  <c:v>Compétence 2 : Analyser statistiquement les données</c:v>
                </c:pt>
                <c:pt idx="2">
                  <c:v>Compétence 3 : Valoriser une production dans un contexte professionnel</c:v>
                </c:pt>
              </c:strCache>
            </c:strRef>
          </c:cat>
          <c:val>
            <c:numRef>
              <c:f>'Mon année'!$L$8:$L$10</c:f>
              <c:numCache>
                <c:formatCode>0.00</c:formatCode>
                <c:ptCount val="3"/>
                <c:pt idx="0">
                  <c:v>15.15</c:v>
                </c:pt>
                <c:pt idx="1">
                  <c:v>15.683333333333335</c:v>
                </c:pt>
                <c:pt idx="2">
                  <c:v>14.85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9-4889-86A3-AA2FFB907276}"/>
            </c:ext>
          </c:extLst>
        </c:ser>
        <c:ser>
          <c:idx val="1"/>
          <c:order val="1"/>
          <c:tx>
            <c:strRef>
              <c:f>'Mon année'!$M$7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année'!$K$8:$K$10</c:f>
              <c:strCache>
                <c:ptCount val="3"/>
                <c:pt idx="0">
                  <c:v>Compétence 1 : Traiter des données à des fins décisionnelles</c:v>
                </c:pt>
                <c:pt idx="1">
                  <c:v>Compétence 2 : Analyser statistiquement les données</c:v>
                </c:pt>
                <c:pt idx="2">
                  <c:v>Compétence 3 : Valoriser une production dans un contexte professionnel</c:v>
                </c:pt>
              </c:strCache>
            </c:strRef>
          </c:cat>
          <c:val>
            <c:numRef>
              <c:f>'Mon année'!$M$8:$M$10</c:f>
              <c:numCache>
                <c:formatCode>0.00</c:formatCode>
                <c:ptCount val="3"/>
                <c:pt idx="0">
                  <c:v>13.2</c:v>
                </c:pt>
                <c:pt idx="1">
                  <c:v>14.1</c:v>
                </c:pt>
                <c:pt idx="2">
                  <c:v>15.45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C9-4889-86A3-AA2FFB9072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60161104"/>
        <c:axId val="1060161584"/>
      </c:barChart>
      <c:catAx>
        <c:axId val="106016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60161584"/>
        <c:crosses val="autoZero"/>
        <c:auto val="1"/>
        <c:lblAlgn val="ctr"/>
        <c:lblOffset val="100"/>
        <c:noMultiLvlLbl val="0"/>
      </c:catAx>
      <c:valAx>
        <c:axId val="1060161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6016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366885835253092"/>
          <c:y val="0.8569054100647383"/>
          <c:w val="0.43266219251558757"/>
          <c:h val="4.4748010852526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fr-FR" sz="28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 correspondante</a:t>
            </a:r>
            <a:r>
              <a:rPr lang="fr-FR" sz="28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à chaque compétence </a:t>
            </a:r>
            <a:endParaRPr lang="fr-FR" sz="28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 année'!$L$7</c:f>
              <c:strCache>
                <c:ptCount val="1"/>
                <c:pt idx="0">
                  <c:v>Semestre 1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année'!$K$8:$K$10</c:f>
              <c:strCache>
                <c:ptCount val="3"/>
                <c:pt idx="0">
                  <c:v>Compétence 1 : Traiter des données à des fins décisionnelles</c:v>
                </c:pt>
                <c:pt idx="1">
                  <c:v>Compétence 2 : Analyser statistiquement les données</c:v>
                </c:pt>
                <c:pt idx="2">
                  <c:v>Compétence 3 : Valoriser une production dans un contexte professionnel</c:v>
                </c:pt>
              </c:strCache>
            </c:strRef>
          </c:cat>
          <c:val>
            <c:numRef>
              <c:f>'Mon année'!$L$8:$L$10</c:f>
              <c:numCache>
                <c:formatCode>0.00</c:formatCode>
                <c:ptCount val="3"/>
                <c:pt idx="0">
                  <c:v>15.15</c:v>
                </c:pt>
                <c:pt idx="1">
                  <c:v>15.683333333333335</c:v>
                </c:pt>
                <c:pt idx="2">
                  <c:v>14.85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E-452F-AC90-D231A848DC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82611408"/>
        <c:axId val="882597968"/>
      </c:barChart>
      <c:catAx>
        <c:axId val="88261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fr-FR"/>
          </a:p>
        </c:txPr>
        <c:crossAx val="882597968"/>
        <c:crosses val="autoZero"/>
        <c:auto val="1"/>
        <c:lblAlgn val="ctr"/>
        <c:lblOffset val="100"/>
        <c:noMultiLvlLbl val="0"/>
      </c:catAx>
      <c:valAx>
        <c:axId val="882597968"/>
        <c:scaling>
          <c:orientation val="minMax"/>
          <c:max val="1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261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Répartition</a:t>
            </a:r>
            <a:r>
              <a:rPr lang="en-US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des coefficients par ressource</a:t>
            </a:r>
            <a:endParaRPr lang="en-US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>
        <c:manualLayout>
          <c:xMode val="edge"/>
          <c:yMode val="edge"/>
          <c:x val="0.14412156398879913"/>
          <c:y val="4.12088296586152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8041441934806E-2"/>
          <c:y val="0.15825587770984251"/>
          <c:w val="0.42633868020045979"/>
          <c:h val="0.69316433071218309"/>
        </c:manualLayout>
      </c:layout>
      <c:doughnutChart>
        <c:varyColors val="1"/>
        <c:ser>
          <c:idx val="0"/>
          <c:order val="0"/>
          <c:tx>
            <c:strRef>
              <c:f>Note!$B$1:$B$2</c:f>
              <c:strCache>
                <c:ptCount val="2"/>
                <c:pt idx="0">
                  <c:v>Coefficient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44A-4BD4-AB15-21492EDDC72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44A-4BD4-AB15-21492EDDC72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44A-4BD4-AB15-21492EDDC72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44A-4BD4-AB15-21492EDDC7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Note!$A$3:$A$6</c:f>
              <c:strCache>
                <c:ptCount val="4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</c:strCache>
            </c:strRef>
          </c:cat>
          <c:val>
            <c:numRef>
              <c:f>Note!$B$3:$B$6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20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4A-4BD4-AB15-21492EDDC72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3262730913976782"/>
          <c:y val="0.29918135300383153"/>
          <c:w val="0.5617473366488579"/>
          <c:h val="0.453626016475643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en-US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par ressource</a:t>
            </a:r>
            <a:endParaRPr lang="en-US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Note!$C$1:$C$2</c:f>
              <c:strCache>
                <c:ptCount val="2"/>
                <c:pt idx="0">
                  <c:v>Moyenne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Note!$A$3:$A$6</c:f>
              <c:strCache>
                <c:ptCount val="4"/>
                <c:pt idx="0">
                  <c:v>Tableur et Reporting</c:v>
                </c:pt>
                <c:pt idx="1">
                  <c:v>Bases de données relationnelles 1</c:v>
                </c:pt>
                <c:pt idx="2">
                  <c:v>Bases de la programmation 1</c:v>
                </c:pt>
                <c:pt idx="3">
                  <c:v>PPP1</c:v>
                </c:pt>
              </c:strCache>
            </c:strRef>
          </c:cat>
          <c:val>
            <c:numRef>
              <c:f>Note!$C$3:$C$6</c:f>
              <c:numCache>
                <c:formatCode>General</c:formatCode>
                <c:ptCount val="4"/>
                <c:pt idx="0" formatCode="0.00">
                  <c:v>14.666666666666666</c:v>
                </c:pt>
                <c:pt idx="1">
                  <c:v>12.5</c:v>
                </c:pt>
                <c:pt idx="2">
                  <c:v>19</c:v>
                </c:pt>
                <c:pt idx="3" formatCode="0.0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10-46B8-90D1-95BF77E22C1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6274016"/>
        <c:axId val="103625097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Note!$B$1:$B$2</c15:sqref>
                        </c15:formulaRef>
                      </c:ext>
                    </c:extLst>
                    <c:strCache>
                      <c:ptCount val="2"/>
                      <c:pt idx="0">
                        <c:v>Coefficient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Note!$A$3:$A$6</c15:sqref>
                        </c15:formulaRef>
                      </c:ext>
                    </c:extLst>
                    <c:strCache>
                      <c:ptCount val="4"/>
                      <c:pt idx="0">
                        <c:v>Tableur et Reporting</c:v>
                      </c:pt>
                      <c:pt idx="1">
                        <c:v>Bases de données relationnelles 1</c:v>
                      </c:pt>
                      <c:pt idx="2">
                        <c:v>Bases de la programmation 1</c:v>
                      </c:pt>
                      <c:pt idx="3">
                        <c:v>PPP1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Note!$B$3:$B$6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15</c:v>
                      </c:pt>
                      <c:pt idx="1">
                        <c:v>20</c:v>
                      </c:pt>
                      <c:pt idx="2">
                        <c:v>20</c:v>
                      </c:pt>
                      <c:pt idx="3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510-46B8-90D1-95BF77E22C14}"/>
                  </c:ext>
                </c:extLst>
              </c15:ser>
            </c15:filteredLineSeries>
          </c:ext>
        </c:extLst>
      </c:lineChart>
      <c:catAx>
        <c:axId val="103627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6250976"/>
        <c:crosses val="autoZero"/>
        <c:auto val="1"/>
        <c:lblAlgn val="ctr"/>
        <c:lblOffset val="100"/>
        <c:noMultiLvlLbl val="0"/>
      </c:catAx>
      <c:valAx>
        <c:axId val="1036250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62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par ressource</a:t>
            </a:r>
            <a:endPara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Note!$A$10:$A$13</c:f>
              <c:strCache>
                <c:ptCount val="4"/>
                <c:pt idx="0">
                  <c:v>Statistique descriptive 1</c:v>
                </c:pt>
                <c:pt idx="1">
                  <c:v>Probabilités 1</c:v>
                </c:pt>
                <c:pt idx="2">
                  <c:v>Mathématiques - analyse</c:v>
                </c:pt>
                <c:pt idx="3">
                  <c:v>PPP1</c:v>
                </c:pt>
              </c:strCache>
            </c:strRef>
          </c:cat>
          <c:val>
            <c:numRef>
              <c:f>Note!$C$10:$C$13</c:f>
              <c:numCache>
                <c:formatCode>General</c:formatCode>
                <c:ptCount val="4"/>
                <c:pt idx="0">
                  <c:v>13</c:v>
                </c:pt>
                <c:pt idx="1">
                  <c:v>12</c:v>
                </c:pt>
                <c:pt idx="2" formatCode="0.00">
                  <c:v>19.166666666666668</c:v>
                </c:pt>
                <c:pt idx="3" formatCode="0.0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3-4FD0-BF64-55A95949112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35066480"/>
        <c:axId val="13350645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Note!$A$10:$A$13</c15:sqref>
                        </c15:formulaRef>
                      </c:ext>
                    </c:extLst>
                    <c:strCache>
                      <c:ptCount val="4"/>
                      <c:pt idx="0">
                        <c:v>Statistique descriptive 1</c:v>
                      </c:pt>
                      <c:pt idx="1">
                        <c:v>Probabilités 1</c:v>
                      </c:pt>
                      <c:pt idx="2">
                        <c:v>Mathématiques - analyse</c:v>
                      </c:pt>
                      <c:pt idx="3">
                        <c:v>PPP1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Note!$B$10:$B$13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</c:v>
                      </c:pt>
                      <c:pt idx="1">
                        <c:v>15</c:v>
                      </c:pt>
                      <c:pt idx="2">
                        <c:v>20</c:v>
                      </c:pt>
                      <c:pt idx="3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173-4FD0-BF64-55A959491125}"/>
                  </c:ext>
                </c:extLst>
              </c15:ser>
            </c15:filteredLineSeries>
          </c:ext>
        </c:extLst>
      </c:lineChart>
      <c:catAx>
        <c:axId val="133506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5064560"/>
        <c:crosses val="autoZero"/>
        <c:auto val="1"/>
        <c:lblAlgn val="ctr"/>
        <c:lblOffset val="100"/>
        <c:noMultiLvlLbl val="0"/>
      </c:catAx>
      <c:valAx>
        <c:axId val="1335064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506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 par ressource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Note!$A$16:$A$19</c:f>
              <c:strCache>
                <c:ptCount val="4"/>
                <c:pt idx="0">
                  <c:v>Initiation à l'anglais de spécialité</c:v>
                </c:pt>
                <c:pt idx="1">
                  <c:v>Communication de l'information et recherche documentaire</c:v>
                </c:pt>
                <c:pt idx="2">
                  <c:v>Découverte des données de l’environnement entrepreneurial et économique </c:v>
                </c:pt>
                <c:pt idx="3">
                  <c:v>PPP1</c:v>
                </c:pt>
              </c:strCache>
            </c:strRef>
          </c:cat>
          <c:val>
            <c:numRef>
              <c:f>Note!$C$16:$C$19</c:f>
              <c:numCache>
                <c:formatCode>General</c:formatCode>
                <c:ptCount val="4"/>
                <c:pt idx="0">
                  <c:v>17</c:v>
                </c:pt>
                <c:pt idx="1">
                  <c:v>15</c:v>
                </c:pt>
                <c:pt idx="2">
                  <c:v>13</c:v>
                </c:pt>
                <c:pt idx="3" formatCode="0.00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61-4377-A564-7D485E62C5A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73804816"/>
        <c:axId val="10738052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Note!$A$16:$A$19</c15:sqref>
                        </c15:formulaRef>
                      </c:ext>
                    </c:extLst>
                    <c:strCache>
                      <c:ptCount val="4"/>
                      <c:pt idx="0">
                        <c:v>Initiation à l'anglais de spécialité</c:v>
                      </c:pt>
                      <c:pt idx="1">
                        <c:v>Communication de l'information et recherche documentaire</c:v>
                      </c:pt>
                      <c:pt idx="2">
                        <c:v>Découverte des données de l’environnement entrepreneurial et économique </c:v>
                      </c:pt>
                      <c:pt idx="3">
                        <c:v>PPP1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Note!$B$16:$B$19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15</c:v>
                      </c:pt>
                      <c:pt idx="1">
                        <c:v>15</c:v>
                      </c:pt>
                      <c:pt idx="2">
                        <c:v>25</c:v>
                      </c:pt>
                      <c:pt idx="3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861-4377-A564-7D485E62C5A3}"/>
                  </c:ext>
                </c:extLst>
              </c15:ser>
            </c15:filteredLineSeries>
          </c:ext>
        </c:extLst>
      </c:lineChart>
      <c:catAx>
        <c:axId val="107380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3805296"/>
        <c:crosses val="autoZero"/>
        <c:auto val="1"/>
        <c:lblAlgn val="ctr"/>
        <c:lblOffset val="100"/>
        <c:noMultiLvlLbl val="0"/>
      </c:catAx>
      <c:valAx>
        <c:axId val="107380529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380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4402383150092"/>
          <c:y val="0.14991972707458703"/>
          <c:w val="0.49225590828504351"/>
          <c:h val="0.70729909790814105"/>
        </c:manualLayout>
      </c:layout>
      <c:radarChart>
        <c:radarStyle val="marker"/>
        <c:varyColors val="0"/>
        <c:ser>
          <c:idx val="0"/>
          <c:order val="0"/>
          <c:tx>
            <c:strRef>
              <c:f>'Mon année'!$G$7</c:f>
              <c:strCache>
                <c:ptCount val="1"/>
                <c:pt idx="0">
                  <c:v>Semestre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7549737532808399"/>
                  <c:y val="-8.9289658778472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658103653628636"/>
                      <c:h val="0.1318695294514358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83-4B49-A97E-1CDEB7D89F93}"/>
                </c:ext>
              </c:extLst>
            </c:dLbl>
            <c:dLbl>
              <c:idx val="1"/>
              <c:layout>
                <c:manualLayout>
                  <c:x val="3.3589086456192588E-2"/>
                  <c:y val="0.1351351693711857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791053842159502"/>
                      <c:h val="0.103249704407651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983-4B49-A97E-1CDEB7D89F93}"/>
                </c:ext>
              </c:extLst>
            </c:dLbl>
            <c:dLbl>
              <c:idx val="2"/>
              <c:layout>
                <c:manualLayout>
                  <c:x val="4.5905172983795248E-2"/>
                  <c:y val="0.114221393158978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804611138000011"/>
                      <c:h val="0.18334959397379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C983-4B49-A97E-1CDEB7D89F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année'!$F$8:$F$10</c:f>
              <c:strCache>
                <c:ptCount val="3"/>
                <c:pt idx="0">
                  <c:v>SAE Compétence 1 : Traiter des données à des fins décisionnelles</c:v>
                </c:pt>
                <c:pt idx="1">
                  <c:v>SAE Compétence 2 : Analyser statistiquement les données</c:v>
                </c:pt>
                <c:pt idx="2">
                  <c:v>SAE Compétence 3 : Valoriser une production dans un contexte professionnel</c:v>
                </c:pt>
              </c:strCache>
            </c:strRef>
          </c:cat>
          <c:val>
            <c:numRef>
              <c:f>'Mon année'!$G$8:$G$10</c:f>
              <c:numCache>
                <c:formatCode>0.00</c:formatCode>
                <c:ptCount val="3"/>
                <c:pt idx="0">
                  <c:v>15</c:v>
                </c:pt>
                <c:pt idx="1">
                  <c:v>17</c:v>
                </c:pt>
                <c:pt idx="2">
                  <c:v>15.375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6-4648-9DFA-542FE3BED7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6891744"/>
        <c:axId val="823264208"/>
      </c:radarChart>
      <c:catAx>
        <c:axId val="7968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fr-FR"/>
          </a:p>
        </c:txPr>
        <c:crossAx val="823264208"/>
        <c:crosses val="autoZero"/>
        <c:auto val="1"/>
        <c:lblAlgn val="ctr"/>
        <c:lblOffset val="100"/>
        <c:noMultiLvlLbl val="0"/>
      </c:catAx>
      <c:valAx>
        <c:axId val="823264208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79689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correspondante à chaque compétence</a:t>
            </a:r>
            <a:endPara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'Mon année'!$M$7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année'!$K$8:$K$10</c:f>
              <c:strCache>
                <c:ptCount val="3"/>
                <c:pt idx="0">
                  <c:v>Compétence 1 : Traiter des données à des fins décisionnelles</c:v>
                </c:pt>
                <c:pt idx="1">
                  <c:v>Compétence 2 : Analyser statistiquement les données</c:v>
                </c:pt>
                <c:pt idx="2">
                  <c:v>Compétence 3 : Valoriser une production dans un contexte professionnel</c:v>
                </c:pt>
              </c:strCache>
            </c:strRef>
          </c:cat>
          <c:val>
            <c:numRef>
              <c:f>'Mon année'!$M$8:$M$10</c:f>
              <c:numCache>
                <c:formatCode>0.00</c:formatCode>
                <c:ptCount val="3"/>
                <c:pt idx="0">
                  <c:v>13.2</c:v>
                </c:pt>
                <c:pt idx="1">
                  <c:v>14.1</c:v>
                </c:pt>
                <c:pt idx="2">
                  <c:v>15.45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29-4661-B153-D804EF6134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15515568"/>
        <c:axId val="14155122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'Mon année'!$L$7</c15:sqref>
                        </c15:formulaRef>
                      </c:ext>
                    </c:extLst>
                    <c:strCache>
                      <c:ptCount val="1"/>
                      <c:pt idx="0">
                        <c:v>Semestre 1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'Mon année'!$K$8:$K$10</c15:sqref>
                        </c15:formulaRef>
                      </c:ext>
                    </c:extLst>
                    <c:strCache>
                      <c:ptCount val="3"/>
                      <c:pt idx="0">
                        <c:v>Compétence 1 : Traiter des données à des fins décisionnelles</c:v>
                      </c:pt>
                      <c:pt idx="1">
                        <c:v>Compétence 2 : Analyser statistiquement les données</c:v>
                      </c:pt>
                      <c:pt idx="2">
                        <c:v>Compétence 3 : Valoriser une production dans un contexte professionnel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'Mon année'!$L$8:$L$10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15.15</c:v>
                      </c:pt>
                      <c:pt idx="1">
                        <c:v>15.683333333333335</c:v>
                      </c:pt>
                      <c:pt idx="2">
                        <c:v>14.85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3929-4661-B153-D804EF613489}"/>
                  </c:ext>
                </c:extLst>
              </c15:ser>
            </c15:filteredBarSeries>
          </c:ext>
        </c:extLst>
      </c:barChart>
      <c:catAx>
        <c:axId val="141551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512208"/>
        <c:crosses val="autoZero"/>
        <c:auto val="1"/>
        <c:lblAlgn val="ctr"/>
        <c:lblOffset val="100"/>
        <c:noMultiLvlLbl val="0"/>
      </c:catAx>
      <c:valAx>
        <c:axId val="1415512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1551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483788181845397"/>
          <c:y val="0.36412910131529153"/>
          <c:w val="0.46666820647421198"/>
          <c:h val="0.44932567519898942"/>
        </c:manualLayout>
      </c:layout>
      <c:radarChart>
        <c:radarStyle val="marker"/>
        <c:varyColors val="0"/>
        <c:ser>
          <c:idx val="1"/>
          <c:order val="1"/>
          <c:tx>
            <c:strRef>
              <c:f>'Mon année'!$H$7</c:f>
              <c:strCache>
                <c:ptCount val="1"/>
                <c:pt idx="0">
                  <c:v>Semestre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0.15538289829480398"/>
                  <c:y val="4.61409389877273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B-48D4-BDD0-BD9484C6DC72}"/>
                </c:ext>
              </c:extLst>
            </c:dLbl>
            <c:dLbl>
              <c:idx val="1"/>
              <c:layout>
                <c:manualLayout>
                  <c:x val="1.1938485076563275E-2"/>
                  <c:y val="0.17506816596298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4B-48D4-BDD0-BD9484C6DC72}"/>
                </c:ext>
              </c:extLst>
            </c:dLbl>
            <c:dLbl>
              <c:idx val="2"/>
              <c:layout>
                <c:manualLayout>
                  <c:x val="0.12797042084337767"/>
                  <c:y val="0.1770746312399878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B-48D4-BDD0-BD9484C6DC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année'!$F$8:$F$10</c:f>
              <c:strCache>
                <c:ptCount val="3"/>
                <c:pt idx="0">
                  <c:v>SAE Compétence 1 : Traiter des données à des fins décisionnelles</c:v>
                </c:pt>
                <c:pt idx="1">
                  <c:v>SAE Compétence 2 : Analyser statistiquement les données</c:v>
                </c:pt>
                <c:pt idx="2">
                  <c:v>SAE Compétence 3 : Valoriser une production dans un contexte professionnel</c:v>
                </c:pt>
              </c:strCache>
            </c:strRef>
          </c:cat>
          <c:val>
            <c:numRef>
              <c:f>'Mon année'!$H$8:$H$10</c:f>
              <c:numCache>
                <c:formatCode>0.00</c:formatCode>
                <c:ptCount val="3"/>
                <c:pt idx="0">
                  <c:v>14.625</c:v>
                </c:pt>
                <c:pt idx="1">
                  <c:v>14.5</c:v>
                </c:pt>
                <c:pt idx="2">
                  <c:v>15.125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B-48D4-BDD0-BD9484C6DC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036249056"/>
        <c:axId val="1036270656"/>
        <c:extLst>
          <c:ext xmlns:c15="http://schemas.microsoft.com/office/drawing/2012/chart" uri="{02D57815-91ED-43cb-92C2-25804820EDAC}">
            <c15:filteredRad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'Mon année'!$G$7</c15:sqref>
                        </c15:formulaRef>
                      </c:ext>
                    </c:extLst>
                    <c:strCache>
                      <c:ptCount val="1"/>
                      <c:pt idx="0">
                        <c:v>Semestre 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'Mon année'!$F$8:$F$10</c15:sqref>
                        </c15:formulaRef>
                      </c:ext>
                    </c:extLst>
                    <c:strCache>
                      <c:ptCount val="3"/>
                      <c:pt idx="0">
                        <c:v>SAE Compétence 1 : Traiter des données à des fins décisionnelles</c:v>
                      </c:pt>
                      <c:pt idx="1">
                        <c:v>SAE Compétence 2 : Analyser statistiquement les données</c:v>
                      </c:pt>
                      <c:pt idx="2">
                        <c:v>SAE Compétence 3 : Valoriser une production dans un contexte professionnel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'Mon année'!$G$8:$G$10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15</c:v>
                      </c:pt>
                      <c:pt idx="1">
                        <c:v>17</c:v>
                      </c:pt>
                      <c:pt idx="2">
                        <c:v>15.375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674B-48D4-BDD0-BD9484C6DC72}"/>
                  </c:ext>
                </c:extLst>
              </c15:ser>
            </c15:filteredRadarSeries>
          </c:ext>
        </c:extLst>
      </c:radarChart>
      <c:catAx>
        <c:axId val="103624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6270656"/>
        <c:crosses val="autoZero"/>
        <c:auto val="1"/>
        <c:lblAlgn val="ctr"/>
        <c:lblOffset val="100"/>
        <c:noMultiLvlLbl val="0"/>
      </c:catAx>
      <c:valAx>
        <c:axId val="1036270656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3624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2400" b="1" i="0" u="none" strike="noStrike" kern="1200" spc="0" baseline="0">
                <a:solidFill>
                  <a:schemeClr val="accent2">
                    <a:lumMod val="75000"/>
                  </a:schemeClr>
                </a:solidFill>
              </a:rPr>
              <a:t>Comparaison de la moyenne globale des SAE de chaque compétence par semestre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4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 année'!$G$7</c:f>
              <c:strCache>
                <c:ptCount val="1"/>
                <c:pt idx="0">
                  <c:v>Semestre 1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année'!$F$8:$F$10</c:f>
              <c:strCache>
                <c:ptCount val="3"/>
                <c:pt idx="0">
                  <c:v>SAE Compétence 1 : Traiter des données à des fins décisionnelles</c:v>
                </c:pt>
                <c:pt idx="1">
                  <c:v>SAE Compétence 2 : Analyser statistiquement les données</c:v>
                </c:pt>
                <c:pt idx="2">
                  <c:v>SAE Compétence 3 : Valoriser une production dans un contexte professionnel</c:v>
                </c:pt>
              </c:strCache>
            </c:strRef>
          </c:cat>
          <c:val>
            <c:numRef>
              <c:f>'Mon année'!$G$8:$G$10</c:f>
              <c:numCache>
                <c:formatCode>0.00</c:formatCode>
                <c:ptCount val="3"/>
                <c:pt idx="0">
                  <c:v>15</c:v>
                </c:pt>
                <c:pt idx="1">
                  <c:v>17</c:v>
                </c:pt>
                <c:pt idx="2">
                  <c:v>15.375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A-4CB9-B50B-F72D2B0C0531}"/>
            </c:ext>
          </c:extLst>
        </c:ser>
        <c:ser>
          <c:idx val="1"/>
          <c:order val="1"/>
          <c:tx>
            <c:strRef>
              <c:f>'Mon année'!$H$7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2"/>
            </a:solidFill>
            <a:ln w="190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année'!$F$8:$F$10</c:f>
              <c:strCache>
                <c:ptCount val="3"/>
                <c:pt idx="0">
                  <c:v>SAE Compétence 1 : Traiter des données à des fins décisionnelles</c:v>
                </c:pt>
                <c:pt idx="1">
                  <c:v>SAE Compétence 2 : Analyser statistiquement les données</c:v>
                </c:pt>
                <c:pt idx="2">
                  <c:v>SAE Compétence 3 : Valoriser une production dans un contexte professionnel</c:v>
                </c:pt>
              </c:strCache>
            </c:strRef>
          </c:cat>
          <c:val>
            <c:numRef>
              <c:f>'Mon année'!$H$8:$H$10</c:f>
              <c:numCache>
                <c:formatCode>0.00</c:formatCode>
                <c:ptCount val="3"/>
                <c:pt idx="0">
                  <c:v>14.625</c:v>
                </c:pt>
                <c:pt idx="1">
                  <c:v>14.5</c:v>
                </c:pt>
                <c:pt idx="2">
                  <c:v>15.125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A-4CB9-B50B-F72D2B0C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907152"/>
        <c:axId val="1194911952"/>
      </c:barChart>
      <c:catAx>
        <c:axId val="119490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4911952"/>
        <c:crosses val="autoZero"/>
        <c:auto val="1"/>
        <c:lblAlgn val="ctr"/>
        <c:lblOffset val="100"/>
        <c:noMultiLvlLbl val="0"/>
      </c:catAx>
      <c:valAx>
        <c:axId val="1194911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490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8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fr-FR" sz="28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par ressource</a:t>
            </a:r>
            <a:endParaRPr lang="fr-FR" sz="28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4558324617077963E-2"/>
          <c:y val="0.14462005213598425"/>
          <c:w val="0.91067252856943637"/>
          <c:h val="0.6689392565318405"/>
        </c:manualLayout>
      </c:layou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Note!$A$25:$A$29</c:f>
              <c:strCache>
                <c:ptCount val="5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</c:strCache>
            </c:strRef>
          </c:cat>
          <c:val>
            <c:numRef>
              <c:f>Note!$C$25:$C$29</c:f>
              <c:numCache>
                <c:formatCode>General</c:formatCode>
                <c:ptCount val="5"/>
                <c:pt idx="0">
                  <c:v>14</c:v>
                </c:pt>
                <c:pt idx="1">
                  <c:v>15</c:v>
                </c:pt>
                <c:pt idx="2">
                  <c:v>10</c:v>
                </c:pt>
                <c:pt idx="3">
                  <c:v>10</c:v>
                </c:pt>
                <c:pt idx="4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F-49A6-AFBD-DEE384723FF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06351792"/>
        <c:axId val="12063551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Note!$A$25:$A$29</c15:sqref>
                        </c15:formulaRef>
                      </c:ext>
                    </c:extLst>
                    <c:strCache>
                      <c:ptCount val="5"/>
                      <c:pt idx="0">
                        <c:v>Reporting et datavisualisation</c:v>
                      </c:pt>
                      <c:pt idx="1">
                        <c:v>Bases de données relationnelles 2</c:v>
                      </c:pt>
                      <c:pt idx="2">
                        <c:v>Bases de la programmation 2</c:v>
                      </c:pt>
                      <c:pt idx="3">
                        <c:v>Programmation statistique</c:v>
                      </c:pt>
                      <c:pt idx="4">
                        <c:v>PPP2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Note!$B$25:$B$29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</c:v>
                      </c:pt>
                      <c:pt idx="1">
                        <c:v>15</c:v>
                      </c:pt>
                      <c:pt idx="2">
                        <c:v>15</c:v>
                      </c:pt>
                      <c:pt idx="3">
                        <c:v>15</c:v>
                      </c:pt>
                      <c:pt idx="4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7EF-49A6-AFBD-DEE384723FFF}"/>
                  </c:ext>
                </c:extLst>
              </c15:ser>
            </c15:filteredLineSeries>
          </c:ext>
        </c:extLst>
      </c:lineChart>
      <c:catAx>
        <c:axId val="120635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355152"/>
        <c:crosses val="autoZero"/>
        <c:auto val="1"/>
        <c:lblAlgn val="ctr"/>
        <c:lblOffset val="100"/>
        <c:noMultiLvlLbl val="0"/>
      </c:catAx>
      <c:valAx>
        <c:axId val="120635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35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Répartition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des coefficients par ressource</a:t>
            </a:r>
            <a:endPara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913217207383117"/>
          <c:y val="8.7470716419490002E-2"/>
          <c:w val="0.4965103034038319"/>
          <c:h val="0.5879347542185682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D7-4A37-8E13-7A29E4A060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D7-4A37-8E13-7A29E4A060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D7-4A37-8E13-7A29E4A060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D7-4A37-8E13-7A29E4A060A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D7-4A37-8E13-7A29E4A060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Note!$A$25:$A$29</c:f>
              <c:strCache>
                <c:ptCount val="5"/>
                <c:pt idx="0">
                  <c:v>Reporting et datavisualisation</c:v>
                </c:pt>
                <c:pt idx="1">
                  <c:v>Bases de données relationnelles 2</c:v>
                </c:pt>
                <c:pt idx="2">
                  <c:v>Bases de la programmation 2</c:v>
                </c:pt>
                <c:pt idx="3">
                  <c:v>Programmation statistique</c:v>
                </c:pt>
                <c:pt idx="4">
                  <c:v>PPP2</c:v>
                </c:pt>
              </c:strCache>
            </c:strRef>
          </c:cat>
          <c:val>
            <c:numRef>
              <c:f>Note!$B$25:$B$29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8D7-4A37-8E13-7A29E4A060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604928956159643E-3"/>
          <c:y val="0.66439607712697601"/>
          <c:w val="0.92112965934337199"/>
          <c:h val="0.33491729247273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8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fr-FR" sz="28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par ressource</a:t>
            </a:r>
            <a:endParaRPr lang="fr-FR" sz="28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9554352062902858E-2"/>
          <c:y val="0.11313525416985314"/>
          <c:w val="0.88954849235010625"/>
          <c:h val="0.69807443836639294"/>
        </c:manualLayout>
      </c:layou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Note!$A$35:$A$39</c:f>
              <c:strCache>
                <c:ptCount val="5"/>
                <c:pt idx="0">
                  <c:v>Statistique descriptive 2</c:v>
                </c:pt>
                <c:pt idx="1">
                  <c:v>Probabilités 2</c:v>
                </c:pt>
                <c:pt idx="2">
                  <c:v>Bases de l'algèbre</c:v>
                </c:pt>
                <c:pt idx="3">
                  <c:v>Statistique inférentielle</c:v>
                </c:pt>
                <c:pt idx="4">
                  <c:v>PPP2</c:v>
                </c:pt>
              </c:strCache>
            </c:strRef>
          </c:cat>
          <c:val>
            <c:numRef>
              <c:f>Note!$C$35:$C$39</c:f>
              <c:numCache>
                <c:formatCode>General</c:formatCode>
                <c:ptCount val="5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14</c:v>
                </c:pt>
                <c:pt idx="4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D-413C-A592-A5CE7CDDE93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3523872"/>
        <c:axId val="20035147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Note!$A$35:$A$39</c15:sqref>
                        </c15:formulaRef>
                      </c:ext>
                    </c:extLst>
                    <c:strCache>
                      <c:ptCount val="5"/>
                      <c:pt idx="0">
                        <c:v>Statistique descriptive 2</c:v>
                      </c:pt>
                      <c:pt idx="1">
                        <c:v>Probabilités 2</c:v>
                      </c:pt>
                      <c:pt idx="2">
                        <c:v>Bases de l'algèbre</c:v>
                      </c:pt>
                      <c:pt idx="3">
                        <c:v>Statistique inférentielle</c:v>
                      </c:pt>
                      <c:pt idx="4">
                        <c:v>PPP2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Note!$B$35:$B$39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</c:v>
                      </c:pt>
                      <c:pt idx="1">
                        <c:v>15</c:v>
                      </c:pt>
                      <c:pt idx="2">
                        <c:v>15</c:v>
                      </c:pt>
                      <c:pt idx="3">
                        <c:v>15</c:v>
                      </c:pt>
                      <c:pt idx="4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D-413C-A592-A5CE7CDDE937}"/>
                  </c:ext>
                </c:extLst>
              </c15:ser>
            </c15:filteredLineSeries>
          </c:ext>
        </c:extLst>
      </c:lineChart>
      <c:catAx>
        <c:axId val="200352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3514752"/>
        <c:crosses val="autoZero"/>
        <c:auto val="1"/>
        <c:lblAlgn val="ctr"/>
        <c:lblOffset val="100"/>
        <c:noMultiLvlLbl val="0"/>
      </c:catAx>
      <c:valAx>
        <c:axId val="200351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352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Répartition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des coefficients par ressource</a:t>
            </a:r>
            <a:endPara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1987113949752085"/>
          <c:y val="7.9713709924356321E-2"/>
          <c:w val="0.52401600266986981"/>
          <c:h val="0.7768075102590201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90-4FDE-BFE9-DFDFB9063B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90-4FDE-BFE9-DFDFB9063B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90-4FDE-BFE9-DFDFB9063B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090-4FDE-BFE9-DFDFB9063B0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090-4FDE-BFE9-DFDFB9063B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Note!$A$35:$A$39</c:f>
              <c:strCache>
                <c:ptCount val="5"/>
                <c:pt idx="0">
                  <c:v>Statistique descriptive 2</c:v>
                </c:pt>
                <c:pt idx="1">
                  <c:v>Probabilités 2</c:v>
                </c:pt>
                <c:pt idx="2">
                  <c:v>Bases de l'algèbre</c:v>
                </c:pt>
                <c:pt idx="3">
                  <c:v>Statistique inférentielle</c:v>
                </c:pt>
                <c:pt idx="4">
                  <c:v>PPP2</c:v>
                </c:pt>
              </c:strCache>
            </c:strRef>
          </c:cat>
          <c:val>
            <c:numRef>
              <c:f>Note!$B$35:$B$39</c:f>
              <c:numCache>
                <c:formatCode>General</c:formatCode>
                <c:ptCount val="5"/>
                <c:pt idx="0">
                  <c:v>10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90-4FDE-BFE9-DFDFB9063B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3358077861613874E-2"/>
          <c:y val="0.77213283153040835"/>
          <c:w val="0.87519075916147349"/>
          <c:h val="0.212289195099548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Répartition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des coefficients par ressource</a:t>
            </a:r>
            <a:endPara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>
        <c:manualLayout>
          <c:xMode val="edge"/>
          <c:yMode val="edge"/>
          <c:x val="0.19651367092513716"/>
          <c:y val="1.20931227585270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E7-414C-A03E-BA0957064A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E7-414C-A03E-BA0957064AE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E7-414C-A03E-BA0957064AE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FE7-414C-A03E-BA0957064A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Note!$A$46:$A$49</c:f>
              <c:strCache>
                <c:ptCount val="4"/>
                <c:pt idx="0">
                  <c:v>Approfondissement de l'anglais de spécialité</c:v>
                </c:pt>
                <c:pt idx="1">
                  <c:v>Communication et sémiologie</c:v>
                </c:pt>
                <c:pt idx="2">
                  <c:v>Étude des données de l'environnement entrepreneurial et économique</c:v>
                </c:pt>
                <c:pt idx="3">
                  <c:v>PPP2</c:v>
                </c:pt>
              </c:strCache>
            </c:strRef>
          </c:cat>
          <c:val>
            <c:numRef>
              <c:f>Note!$B$46:$B$49</c:f>
              <c:numCache>
                <c:formatCode>General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25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FE7-414C-A03E-BA0957064A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8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Moyenne</a:t>
            </a:r>
            <a:r>
              <a:rPr lang="fr-FR" sz="28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par ressource</a:t>
            </a:r>
            <a:endParaRPr lang="fr-FR" sz="28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Note!$A$46:$A$49</c:f>
              <c:strCache>
                <c:ptCount val="4"/>
                <c:pt idx="0">
                  <c:v>Approfondissement de l'anglais de spécialité</c:v>
                </c:pt>
                <c:pt idx="1">
                  <c:v>Communication et sémiologie</c:v>
                </c:pt>
                <c:pt idx="2">
                  <c:v>Étude des données de l'environnement entrepreneurial et économique</c:v>
                </c:pt>
                <c:pt idx="3">
                  <c:v>PPP2</c:v>
                </c:pt>
              </c:strCache>
            </c:strRef>
          </c:cat>
          <c:val>
            <c:numRef>
              <c:f>Note!$C$46:$C$49</c:f>
              <c:numCache>
                <c:formatCode>General</c:formatCode>
                <c:ptCount val="4"/>
                <c:pt idx="0">
                  <c:v>18</c:v>
                </c:pt>
                <c:pt idx="1">
                  <c:v>17</c:v>
                </c:pt>
                <c:pt idx="2">
                  <c:v>14</c:v>
                </c:pt>
                <c:pt idx="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4D-4E37-9F4F-1BF9C45D5F0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98657904"/>
        <c:axId val="12986607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Note!$A$46:$A$49</c15:sqref>
                        </c15:formulaRef>
                      </c:ext>
                    </c:extLst>
                    <c:strCache>
                      <c:ptCount val="4"/>
                      <c:pt idx="0">
                        <c:v>Approfondissement de l'anglais de spécialité</c:v>
                      </c:pt>
                      <c:pt idx="1">
                        <c:v>Communication et sémiologie</c:v>
                      </c:pt>
                      <c:pt idx="2">
                        <c:v>Étude des données de l'environnement entrepreneurial et économique</c:v>
                      </c:pt>
                      <c:pt idx="3">
                        <c:v>PPP2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Note!$B$46:$B$49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15</c:v>
                      </c:pt>
                      <c:pt idx="1">
                        <c:v>15</c:v>
                      </c:pt>
                      <c:pt idx="2">
                        <c:v>25</c:v>
                      </c:pt>
                      <c:pt idx="3">
                        <c:v>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84D-4E37-9F4F-1BF9C45D5F0C}"/>
                  </c:ext>
                </c:extLst>
              </c15:ser>
            </c15:filteredLineSeries>
          </c:ext>
        </c:extLst>
      </c:lineChart>
      <c:catAx>
        <c:axId val="129865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8660784"/>
        <c:crosses val="autoZero"/>
        <c:auto val="1"/>
        <c:lblAlgn val="ctr"/>
        <c:lblOffset val="100"/>
        <c:noMultiLvlLbl val="0"/>
      </c:catAx>
      <c:valAx>
        <c:axId val="12986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986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Contribution</a:t>
            </a:r>
            <a:r>
              <a:rPr lang="fr-FR" sz="20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à la moyenne dans chaque compétence</a:t>
            </a:r>
            <a:endParaRPr lang="fr-FR" sz="20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Contribution des ressources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année'!$T$6:$T$8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'Mon année'!$V$6:$V$8</c:f>
              <c:numCache>
                <c:formatCode>0.00</c:formatCode>
                <c:ptCount val="3"/>
                <c:pt idx="0">
                  <c:v>9.15</c:v>
                </c:pt>
                <c:pt idx="1">
                  <c:v>8.8833333333333329</c:v>
                </c:pt>
                <c:pt idx="2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D-4597-BE79-9CCD6BE15C43}"/>
            </c:ext>
          </c:extLst>
        </c:ser>
        <c:ser>
          <c:idx val="1"/>
          <c:order val="1"/>
          <c:tx>
            <c:v>Contribution des SAE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année'!$T$6:$T$8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'Mon année'!$W$6:$W$8</c:f>
              <c:numCache>
                <c:formatCode>General</c:formatCode>
                <c:ptCount val="3"/>
                <c:pt idx="0">
                  <c:v>6</c:v>
                </c:pt>
                <c:pt idx="1">
                  <c:v>6.8000000000000007</c:v>
                </c:pt>
                <c:pt idx="2">
                  <c:v>6.15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4D-4597-BE79-9CCD6BE15C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80612351"/>
        <c:axId val="680598431"/>
      </c:barChart>
      <c:catAx>
        <c:axId val="68061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0598431"/>
        <c:crosses val="autoZero"/>
        <c:auto val="1"/>
        <c:lblAlgn val="ctr"/>
        <c:lblOffset val="100"/>
        <c:noMultiLvlLbl val="0"/>
      </c:catAx>
      <c:valAx>
        <c:axId val="68059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061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Contribution</a:t>
            </a:r>
            <a:r>
              <a:rPr lang="fr-FR" sz="2000" b="1" baseline="0">
                <a:solidFill>
                  <a:schemeClr val="accent2">
                    <a:lumMod val="7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à la moyenne dans chaque compétence</a:t>
            </a:r>
            <a:endParaRPr lang="fr-FR" sz="20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Contribution des ressources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année'!$T$11:$T$13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'Mon année'!$V$11:$V$13</c:f>
              <c:numCache>
                <c:formatCode>General</c:formatCode>
                <c:ptCount val="3"/>
                <c:pt idx="0">
                  <c:v>7.35</c:v>
                </c:pt>
                <c:pt idx="1">
                  <c:v>8.3000000000000007</c:v>
                </c:pt>
                <c:pt idx="2">
                  <c:v>9.3999999999999986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3-446C-B087-5C6E31DE59F0}"/>
            </c:ext>
          </c:extLst>
        </c:ser>
        <c:ser>
          <c:idx val="1"/>
          <c:order val="1"/>
          <c:tx>
            <c:v>Contribution des SAE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année'!$T$11:$T$13</c:f>
              <c:strCache>
                <c:ptCount val="3"/>
                <c:pt idx="0">
                  <c:v>C1</c:v>
                </c:pt>
                <c:pt idx="1">
                  <c:v>C2</c:v>
                </c:pt>
                <c:pt idx="2">
                  <c:v>C3</c:v>
                </c:pt>
              </c:strCache>
            </c:strRef>
          </c:cat>
          <c:val>
            <c:numRef>
              <c:f>'Mon année'!$W$11:$W$13</c:f>
              <c:numCache>
                <c:formatCode>General</c:formatCode>
                <c:ptCount val="3"/>
                <c:pt idx="0">
                  <c:v>5.8500000000000005</c:v>
                </c:pt>
                <c:pt idx="1">
                  <c:v>5.8000000000000007</c:v>
                </c:pt>
                <c:pt idx="2">
                  <c:v>6.0500000000000007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13-446C-B087-5C6E31DE59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80608511"/>
        <c:axId val="680622431"/>
      </c:barChart>
      <c:catAx>
        <c:axId val="680608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0622431"/>
        <c:crosses val="autoZero"/>
        <c:auto val="1"/>
        <c:lblAlgn val="ctr"/>
        <c:lblOffset val="100"/>
        <c:noMultiLvlLbl val="0"/>
      </c:catAx>
      <c:valAx>
        <c:axId val="68062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0608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400" b="1">
                <a:solidFill>
                  <a:schemeClr val="accent2">
                    <a:lumMod val="75000"/>
                  </a:schemeClr>
                </a:solidFill>
              </a:rPr>
              <a:t>Comparaison</a:t>
            </a:r>
            <a:r>
              <a:rPr lang="fr-FR" sz="2400" b="1" baseline="0">
                <a:solidFill>
                  <a:schemeClr val="accent2">
                    <a:lumMod val="75000"/>
                  </a:schemeClr>
                </a:solidFill>
              </a:rPr>
              <a:t> de la moyenne globale des ressources de chaque compétence par semestre</a:t>
            </a:r>
            <a:endParaRPr lang="fr-FR" sz="2400" b="1">
              <a:solidFill>
                <a:schemeClr val="accent2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 année'!$G$14</c:f>
              <c:strCache>
                <c:ptCount val="1"/>
                <c:pt idx="0">
                  <c:v>Semestre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année'!$F$15:$F$17</c:f>
              <c:strCache>
                <c:ptCount val="3"/>
                <c:pt idx="0">
                  <c:v>Ressources Competence 1</c:v>
                </c:pt>
                <c:pt idx="1">
                  <c:v>Ressources Competence 2</c:v>
                </c:pt>
                <c:pt idx="2">
                  <c:v>Ressources compétence 3</c:v>
                </c:pt>
              </c:strCache>
            </c:strRef>
          </c:cat>
          <c:val>
            <c:numRef>
              <c:f>'Mon année'!$G$15:$G$17</c:f>
              <c:numCache>
                <c:formatCode>0.00</c:formatCode>
                <c:ptCount val="3"/>
                <c:pt idx="0">
                  <c:v>15.25</c:v>
                </c:pt>
                <c:pt idx="1">
                  <c:v>14.805555555555555</c:v>
                </c:pt>
                <c:pt idx="2">
                  <c:v>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29-4819-A605-512FE925EF4B}"/>
            </c:ext>
          </c:extLst>
        </c:ser>
        <c:ser>
          <c:idx val="1"/>
          <c:order val="1"/>
          <c:tx>
            <c:strRef>
              <c:f>'Mon année'!$H$14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 année'!$F$15:$F$17</c:f>
              <c:strCache>
                <c:ptCount val="3"/>
                <c:pt idx="0">
                  <c:v>Ressources Competence 1</c:v>
                </c:pt>
                <c:pt idx="1">
                  <c:v>Ressources Competence 2</c:v>
                </c:pt>
                <c:pt idx="2">
                  <c:v>Ressources compétence 3</c:v>
                </c:pt>
              </c:strCache>
            </c:strRef>
          </c:cat>
          <c:val>
            <c:numRef>
              <c:f>'Mon année'!$H$15:$H$17</c:f>
              <c:numCache>
                <c:formatCode>0.00</c:formatCode>
                <c:ptCount val="3"/>
                <c:pt idx="0">
                  <c:v>12.25</c:v>
                </c:pt>
                <c:pt idx="1">
                  <c:v>13.833333333333334</c:v>
                </c:pt>
                <c:pt idx="2">
                  <c:v>15.666666666666666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29-4819-A605-512FE925EF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34036160"/>
        <c:axId val="434036640"/>
      </c:barChart>
      <c:catAx>
        <c:axId val="43403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4036640"/>
        <c:crosses val="autoZero"/>
        <c:auto val="1"/>
        <c:lblAlgn val="ctr"/>
        <c:lblOffset val="100"/>
        <c:noMultiLvlLbl val="0"/>
      </c:catAx>
      <c:valAx>
        <c:axId val="4340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403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Répartition des coefficients par ressource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26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r>
            <a:rPr kumimoji="0" lang="fr-FR" sz="2400" b="1" i="0" u="none" strike="noStrike" kern="1200" cap="none" spc="0" normalizeH="0" baseline="0" noProof="0">
              <a:ln>
                <a:noFill/>
              </a:ln>
              <a:solidFill>
                <a:schemeClr val="accent2">
                  <a:lumMod val="75000"/>
                </a:schemeClr>
              </a:solidFill>
              <a:effectLst/>
              <a:uLnTx/>
              <a:uFillTx/>
              <a:latin typeface="Segoe UI" panose="020B0502040204020203" pitchFamily="34" charset="0"/>
              <a:cs typeface="Segoe UI" panose="020B0502040204020203" pitchFamily="34" charset="0"/>
            </a:rPr>
            <a:t>Répartition des coefficients par ressource</a:t>
          </a:r>
        </a:p>
      </cx:txPr>
    </cx:title>
    <cx:plotArea>
      <cx:plotAreaRegion>
        <cx:series layoutId="sunburst" uniqueId="{2DC827AB-B5AF-431E-97C3-69F6D15FA165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3200" b="1">
                    <a:solidFill>
                      <a:schemeClr val="tx1"/>
                    </a:solidFill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fr-FR" sz="3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400"/>
          </a:pPr>
          <a:endParaRPr lang="fr-FR" sz="2400" b="0" i="0" u="none" strike="noStrike" kern="1200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Répartition des coefficients par ressource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defRPr>
          </a:pPr>
          <a:r>
            <a:rPr lang="fr-FR" sz="2400" b="1">
              <a:solidFill>
                <a:schemeClr val="accent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Répartition des coefficients par ressource</a:t>
          </a:r>
        </a:p>
      </cx:txPr>
    </cx:title>
    <cx:plotArea>
      <cx:plotAreaRegion>
        <cx:series layoutId="sunburst" uniqueId="{5BFCED49-9DF9-4CEB-9EB9-D1630C26CB4D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2800" b="1">
                    <a:solidFill>
                      <a:schemeClr val="tx1"/>
                    </a:solidFill>
                    <a:latin typeface="Times New Roman" panose="02020603050405020304" pitchFamily="18" charset="0"/>
                    <a:ea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fr-FR" sz="28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x:txPr>
            <cx:visibility seriesName="0" categoryName="0" value="1"/>
            <cx:separator>, </cx:separator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800"/>
          </a:pPr>
          <a:endParaRPr lang="fr-FR" sz="1800" b="0" i="0" u="none" strike="noStrike" kern="1200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8.png"/><Relationship Id="rId7" Type="http://schemas.openxmlformats.org/officeDocument/2006/relationships/image" Target="../media/image11.svg"/><Relationship Id="rId12" Type="http://schemas.openxmlformats.org/officeDocument/2006/relationships/image" Target="../media/image16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0.pn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microsoft.com/office/2007/relationships/hdphoto" Target="../media/hdphoto1.wdp"/><Relationship Id="rId9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18" Type="http://schemas.openxmlformats.org/officeDocument/2006/relationships/chart" Target="../charts/chart16.xml"/><Relationship Id="rId3" Type="http://schemas.openxmlformats.org/officeDocument/2006/relationships/chart" Target="../charts/chart3.xml"/><Relationship Id="rId21" Type="http://schemas.openxmlformats.org/officeDocument/2006/relationships/chart" Target="../charts/chart19.xml"/><Relationship Id="rId7" Type="http://schemas.microsoft.com/office/2014/relationships/chartEx" Target="../charts/chartEx2.xml"/><Relationship Id="rId12" Type="http://schemas.openxmlformats.org/officeDocument/2006/relationships/chart" Target="../charts/chart10.xml"/><Relationship Id="rId17" Type="http://schemas.openxmlformats.org/officeDocument/2006/relationships/chart" Target="../charts/chart15.xml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20" Type="http://schemas.openxmlformats.org/officeDocument/2006/relationships/chart" Target="../charts/chart18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5" Type="http://schemas.openxmlformats.org/officeDocument/2006/relationships/chart" Target="../charts/chart13.xml"/><Relationship Id="rId10" Type="http://schemas.openxmlformats.org/officeDocument/2006/relationships/chart" Target="../charts/chart8.xml"/><Relationship Id="rId19" Type="http://schemas.openxmlformats.org/officeDocument/2006/relationships/chart" Target="../charts/chart17.xml"/><Relationship Id="rId4" Type="http://schemas.openxmlformats.org/officeDocument/2006/relationships/chart" Target="../charts/chart4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552449</xdr:colOff>
      <xdr:row>7</xdr:row>
      <xdr:rowOff>152400</xdr:rowOff>
    </xdr:from>
    <xdr:to>
      <xdr:col>18</xdr:col>
      <xdr:colOff>85724</xdr:colOff>
      <xdr:row>36</xdr:row>
      <xdr:rowOff>28575</xdr:rowOff>
    </xdr:to>
    <xdr:sp macro="" textlink="">
      <xdr:nvSpPr>
        <xdr:cNvPr id="13" name="Rectangle 5">
          <a:extLst>
            <a:ext uri="{FF2B5EF4-FFF2-40B4-BE49-F238E27FC236}">
              <a16:creationId xmlns:a16="http://schemas.microsoft.com/office/drawing/2014/main" id="{D95F1CA9-2BAB-A615-9839-D29A66076F4D}"/>
            </a:ext>
          </a:extLst>
        </xdr:cNvPr>
        <xdr:cNvSpPr/>
      </xdr:nvSpPr>
      <xdr:spPr>
        <a:xfrm>
          <a:off x="3676649" y="1685925"/>
          <a:ext cx="11229975" cy="51244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409575</xdr:colOff>
      <xdr:row>2</xdr:row>
      <xdr:rowOff>38101</xdr:rowOff>
    </xdr:from>
    <xdr:to>
      <xdr:col>14</xdr:col>
      <xdr:colOff>542925</xdr:colOff>
      <xdr:row>6</xdr:row>
      <xdr:rowOff>38101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90256589-AB16-0A38-45F6-BF5F088DE1E4}"/>
            </a:ext>
          </a:extLst>
        </xdr:cNvPr>
        <xdr:cNvSpPr/>
      </xdr:nvSpPr>
      <xdr:spPr>
        <a:xfrm>
          <a:off x="6657975" y="400051"/>
          <a:ext cx="5581650" cy="1104900"/>
        </a:xfrm>
        <a:prstGeom prst="roundRect">
          <a:avLst/>
        </a:prstGeom>
        <a:noFill/>
        <a:ln w="25400"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2</xdr:col>
      <xdr:colOff>457200</xdr:colOff>
      <xdr:row>5</xdr:row>
      <xdr:rowOff>104775</xdr:rowOff>
    </xdr:from>
    <xdr:to>
      <xdr:col>9</xdr:col>
      <xdr:colOff>247650</xdr:colOff>
      <xdr:row>30</xdr:row>
      <xdr:rowOff>85725</xdr:rowOff>
    </xdr:to>
    <xdr:sp macro="" textlink="">
      <xdr:nvSpPr>
        <xdr:cNvPr id="2" name="Organigramme : Délai 1" hidden="1">
          <a:extLst>
            <a:ext uri="{FF2B5EF4-FFF2-40B4-BE49-F238E27FC236}">
              <a16:creationId xmlns:a16="http://schemas.microsoft.com/office/drawing/2014/main" id="{737E6BC2-6753-6ACF-93FD-9B299240521E}"/>
            </a:ext>
          </a:extLst>
        </xdr:cNvPr>
        <xdr:cNvSpPr/>
      </xdr:nvSpPr>
      <xdr:spPr>
        <a:xfrm>
          <a:off x="1981200" y="1057275"/>
          <a:ext cx="5124450" cy="474345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19</xdr:row>
          <xdr:rowOff>0</xdr:rowOff>
        </xdr:from>
        <xdr:to>
          <xdr:col>10</xdr:col>
          <xdr:colOff>361950</xdr:colOff>
          <xdr:row>22</xdr:row>
          <xdr:rowOff>19050</xdr:rowOff>
        </xdr:to>
        <xdr:sp macro="" textlink="">
          <xdr:nvSpPr>
            <xdr:cNvPr id="2049" name="btnAjou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561975</xdr:colOff>
          <xdr:row>18</xdr:row>
          <xdr:rowOff>152400</xdr:rowOff>
        </xdr:from>
        <xdr:to>
          <xdr:col>17</xdr:col>
          <xdr:colOff>342900</xdr:colOff>
          <xdr:row>21</xdr:row>
          <xdr:rowOff>171450</xdr:rowOff>
        </xdr:to>
        <xdr:sp macro="" textlink="">
          <xdr:nvSpPr>
            <xdr:cNvPr id="2050" name="btnModifie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691874</xdr:colOff>
      <xdr:row>19</xdr:row>
      <xdr:rowOff>123825</xdr:rowOff>
    </xdr:from>
    <xdr:to>
      <xdr:col>6</xdr:col>
      <xdr:colOff>314326</xdr:colOff>
      <xdr:row>21</xdr:row>
      <xdr:rowOff>95249</xdr:rowOff>
    </xdr:to>
    <xdr:pic>
      <xdr:nvPicPr>
        <xdr:cNvPr id="14" name="Graphique 3" descr="Stylo de calligraphie avec un remplissage uni">
          <a:extLst>
            <a:ext uri="{FF2B5EF4-FFF2-40B4-BE49-F238E27FC236}">
              <a16:creationId xmlns:a16="http://schemas.microsoft.com/office/drawing/2014/main" id="{5E3A4EAE-3EC1-1434-2711-0B52F71D4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597124" y="3829050"/>
          <a:ext cx="403502" cy="3333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2</xdr:col>
      <xdr:colOff>342899</xdr:colOff>
      <xdr:row>39</xdr:row>
      <xdr:rowOff>152399</xdr:rowOff>
    </xdr:to>
    <xdr:pic>
      <xdr:nvPicPr>
        <xdr:cNvPr id="6" name="Image 9">
          <a:extLst>
            <a:ext uri="{FF2B5EF4-FFF2-40B4-BE49-F238E27FC236}">
              <a16:creationId xmlns:a16="http://schemas.microsoft.com/office/drawing/2014/main" id="{697EEC3F-AB5D-E385-F423-E7AFAD8AD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biLevel thresh="75000"/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95950"/>
          <a:ext cx="1866899" cy="186689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38099</xdr:rowOff>
    </xdr:from>
    <xdr:to>
      <xdr:col>4</xdr:col>
      <xdr:colOff>139280</xdr:colOff>
      <xdr:row>4</xdr:row>
      <xdr:rowOff>352425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5933394B-16CC-5840-1F28-0464D275D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099"/>
          <a:ext cx="3263480" cy="12287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28</xdr:row>
          <xdr:rowOff>104775</xdr:rowOff>
        </xdr:from>
        <xdr:to>
          <xdr:col>10</xdr:col>
          <xdr:colOff>266700</xdr:colOff>
          <xdr:row>31</xdr:row>
          <xdr:rowOff>142875</xdr:rowOff>
        </xdr:to>
        <xdr:sp macro="" textlink="">
          <xdr:nvSpPr>
            <xdr:cNvPr id="2051" name="btnTableauDeBor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714375</xdr:colOff>
      <xdr:row>28</xdr:row>
      <xdr:rowOff>142875</xdr:rowOff>
    </xdr:from>
    <xdr:to>
      <xdr:col>6</xdr:col>
      <xdr:colOff>447674</xdr:colOff>
      <xdr:row>31</xdr:row>
      <xdr:rowOff>114299</xdr:rowOff>
    </xdr:to>
    <xdr:pic>
      <xdr:nvPicPr>
        <xdr:cNvPr id="4" name="Graphique 3" descr="Graphique à barres avec un remplissage uni">
          <a:extLst>
            <a:ext uri="{FF2B5EF4-FFF2-40B4-BE49-F238E27FC236}">
              <a16:creationId xmlns:a16="http://schemas.microsoft.com/office/drawing/2014/main" id="{6A0FE621-3A7C-2DB0-3167-E52DCEECA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619625" y="5476875"/>
          <a:ext cx="514349" cy="514349"/>
        </a:xfrm>
        <a:prstGeom prst="rect">
          <a:avLst/>
        </a:prstGeom>
      </xdr:spPr>
    </xdr:pic>
    <xdr:clientData/>
  </xdr:twoCellAnchor>
  <xdr:twoCellAnchor>
    <xdr:from>
      <xdr:col>8</xdr:col>
      <xdr:colOff>752475</xdr:colOff>
      <xdr:row>10</xdr:row>
      <xdr:rowOff>28574</xdr:rowOff>
    </xdr:from>
    <xdr:to>
      <xdr:col>13</xdr:col>
      <xdr:colOff>1171575</xdr:colOff>
      <xdr:row>12</xdr:row>
      <xdr:rowOff>133349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D5969DD3-2910-4148-08C3-5D1049BF0C72}"/>
            </a:ext>
          </a:extLst>
        </xdr:cNvPr>
        <xdr:cNvSpPr txBox="1"/>
      </xdr:nvSpPr>
      <xdr:spPr>
        <a:xfrm>
          <a:off x="7000875" y="2105024"/>
          <a:ext cx="4476750" cy="4667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Sélectionnez</a:t>
          </a:r>
          <a:r>
            <a:rPr lang="fr-FR" sz="1800" b="1" kern="12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une fonctionnalité</a:t>
          </a:r>
          <a:endParaRPr lang="fr-FR" sz="18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19</xdr:col>
      <xdr:colOff>133350</xdr:colOff>
      <xdr:row>0</xdr:row>
      <xdr:rowOff>0</xdr:rowOff>
    </xdr:from>
    <xdr:to>
      <xdr:col>21</xdr:col>
      <xdr:colOff>644070</xdr:colOff>
      <xdr:row>4</xdr:row>
      <xdr:rowOff>358250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FE0BCA45-12D7-EBB3-76DC-5DA1AC4C9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35300" y="0"/>
          <a:ext cx="2072820" cy="1272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590550</xdr:colOff>
          <xdr:row>35</xdr:row>
          <xdr:rowOff>47625</xdr:rowOff>
        </xdr:from>
        <xdr:to>
          <xdr:col>21</xdr:col>
          <xdr:colOff>447675</xdr:colOff>
          <xdr:row>38</xdr:row>
          <xdr:rowOff>19050</xdr:rowOff>
        </xdr:to>
        <xdr:sp macro="" textlink="">
          <xdr:nvSpPr>
            <xdr:cNvPr id="2052" name="btnSupprimerTou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84417</xdr:colOff>
      <xdr:row>19</xdr:row>
      <xdr:rowOff>85724</xdr:rowOff>
    </xdr:from>
    <xdr:to>
      <xdr:col>13</xdr:col>
      <xdr:colOff>449139</xdr:colOff>
      <xdr:row>21</xdr:row>
      <xdr:rowOff>71801</xdr:rowOff>
    </xdr:to>
    <xdr:pic>
      <xdr:nvPicPr>
        <xdr:cNvPr id="9" name="Graphique 8" descr="Ligne fléchée : faire pivoter à gauche avec un remplissage uni">
          <a:extLst>
            <a:ext uri="{FF2B5EF4-FFF2-40B4-BE49-F238E27FC236}">
              <a16:creationId xmlns:a16="http://schemas.microsoft.com/office/drawing/2014/main" id="{857C8E81-CF93-06EB-A08A-5E2D6AEAB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90467" y="3790949"/>
          <a:ext cx="364722" cy="3480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666750</xdr:colOff>
          <xdr:row>28</xdr:row>
          <xdr:rowOff>95250</xdr:rowOff>
        </xdr:from>
        <xdr:to>
          <xdr:col>17</xdr:col>
          <xdr:colOff>390525</xdr:colOff>
          <xdr:row>31</xdr:row>
          <xdr:rowOff>114300</xdr:rowOff>
        </xdr:to>
        <xdr:sp macro="" textlink="">
          <xdr:nvSpPr>
            <xdr:cNvPr id="2053" name="btnAbsenc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761999</xdr:colOff>
      <xdr:row>28</xdr:row>
      <xdr:rowOff>123824</xdr:rowOff>
    </xdr:from>
    <xdr:to>
      <xdr:col>13</xdr:col>
      <xdr:colOff>581024</xdr:colOff>
      <xdr:row>32</xdr:row>
      <xdr:rowOff>3174</xdr:rowOff>
    </xdr:to>
    <xdr:pic>
      <xdr:nvPicPr>
        <xdr:cNvPr id="10" name="Graphique 9" descr="Calendrier mensuel contour">
          <a:extLst>
            <a:ext uri="{FF2B5EF4-FFF2-40B4-BE49-F238E27FC236}">
              <a16:creationId xmlns:a16="http://schemas.microsoft.com/office/drawing/2014/main" id="{CF6D380B-7871-7588-BEAF-43BC7B97A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86999" y="5572124"/>
          <a:ext cx="600075" cy="600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515471</xdr:colOff>
      <xdr:row>311</xdr:row>
      <xdr:rowOff>73279</xdr:rowOff>
    </xdr:from>
    <xdr:to>
      <xdr:col>49</xdr:col>
      <xdr:colOff>313765</xdr:colOff>
      <xdr:row>361</xdr:row>
      <xdr:rowOff>27166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27EA222-7665-96DF-6801-EB9DECCA9F61}"/>
            </a:ext>
          </a:extLst>
        </xdr:cNvPr>
        <xdr:cNvSpPr/>
      </xdr:nvSpPr>
      <xdr:spPr>
        <a:xfrm>
          <a:off x="3653118" y="55990632"/>
          <a:ext cx="36620823" cy="8918593"/>
        </a:xfrm>
        <a:prstGeom prst="rect">
          <a:avLst/>
        </a:prstGeom>
        <a:solidFill>
          <a:srgbClr val="D4E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5</xdr:col>
      <xdr:colOff>46181</xdr:colOff>
      <xdr:row>20</xdr:row>
      <xdr:rowOff>170489</xdr:rowOff>
    </xdr:from>
    <xdr:to>
      <xdr:col>48</xdr:col>
      <xdr:colOff>392546</xdr:colOff>
      <xdr:row>142</xdr:row>
      <xdr:rowOff>44824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7052AF0-9279-8CFC-C78A-405C1BE8D474}"/>
            </a:ext>
          </a:extLst>
        </xdr:cNvPr>
        <xdr:cNvSpPr/>
      </xdr:nvSpPr>
      <xdr:spPr>
        <a:xfrm>
          <a:off x="3968240" y="3913254"/>
          <a:ext cx="35600071" cy="21748217"/>
        </a:xfrm>
        <a:prstGeom prst="rect">
          <a:avLst/>
        </a:prstGeom>
        <a:solidFill>
          <a:srgbClr val="D4E2F2"/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3</xdr:row>
          <xdr:rowOff>85725</xdr:rowOff>
        </xdr:from>
        <xdr:to>
          <xdr:col>16</xdr:col>
          <xdr:colOff>28575</xdr:colOff>
          <xdr:row>12</xdr:row>
          <xdr:rowOff>152400</xdr:rowOff>
        </xdr:to>
        <xdr:sp macro="" textlink="">
          <xdr:nvSpPr>
            <xdr:cNvPr id="9217" name="bntPointSurLanne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149411</xdr:colOff>
      <xdr:row>314</xdr:row>
      <xdr:rowOff>22412</xdr:rowOff>
    </xdr:from>
    <xdr:to>
      <xdr:col>18</xdr:col>
      <xdr:colOff>228191</xdr:colOff>
      <xdr:row>358</xdr:row>
      <xdr:rowOff>10715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6897A63-84E8-4D5F-994C-89D61A677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628650</xdr:colOff>
          <xdr:row>3</xdr:row>
          <xdr:rowOff>19050</xdr:rowOff>
        </xdr:from>
        <xdr:to>
          <xdr:col>44</xdr:col>
          <xdr:colOff>66675</xdr:colOff>
          <xdr:row>12</xdr:row>
          <xdr:rowOff>104775</xdr:rowOff>
        </xdr:to>
        <xdr:sp macro="" textlink="">
          <xdr:nvSpPr>
            <xdr:cNvPr id="9219" name="btnSemestre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66675</xdr:rowOff>
        </xdr:from>
        <xdr:to>
          <xdr:col>4</xdr:col>
          <xdr:colOff>400050</xdr:colOff>
          <xdr:row>7</xdr:row>
          <xdr:rowOff>171450</xdr:rowOff>
        </xdr:to>
        <xdr:sp macro="" textlink="">
          <xdr:nvSpPr>
            <xdr:cNvPr id="9220" name="btnRetourAccuei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669636</xdr:colOff>
      <xdr:row>154</xdr:row>
      <xdr:rowOff>69272</xdr:rowOff>
    </xdr:from>
    <xdr:to>
      <xdr:col>48</xdr:col>
      <xdr:colOff>623454</xdr:colOff>
      <xdr:row>288</xdr:row>
      <xdr:rowOff>67236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F655803-7058-C4F2-E319-CF3E415F7DDD}"/>
            </a:ext>
          </a:extLst>
        </xdr:cNvPr>
        <xdr:cNvSpPr/>
      </xdr:nvSpPr>
      <xdr:spPr>
        <a:xfrm>
          <a:off x="3807283" y="27837448"/>
          <a:ext cx="35991936" cy="24023376"/>
        </a:xfrm>
        <a:prstGeom prst="rect">
          <a:avLst/>
        </a:prstGeom>
        <a:solidFill>
          <a:srgbClr val="D4E2F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6</xdr:col>
      <xdr:colOff>246530</xdr:colOff>
      <xdr:row>56</xdr:row>
      <xdr:rowOff>67234</xdr:rowOff>
    </xdr:from>
    <xdr:to>
      <xdr:col>16</xdr:col>
      <xdr:colOff>336177</xdr:colOff>
      <xdr:row>138</xdr:row>
      <xdr:rowOff>237</xdr:rowOff>
    </xdr:to>
    <xdr:sp macro="" textlink="">
      <xdr:nvSpPr>
        <xdr:cNvPr id="7" name="Rectangle : avec coins arrondis en haut 6">
          <a:extLst>
            <a:ext uri="{FF2B5EF4-FFF2-40B4-BE49-F238E27FC236}">
              <a16:creationId xmlns:a16="http://schemas.microsoft.com/office/drawing/2014/main" id="{0AFE5CE8-BE55-4EF7-8731-B5C7D74DEE92}"/>
            </a:ext>
          </a:extLst>
        </xdr:cNvPr>
        <xdr:cNvSpPr/>
      </xdr:nvSpPr>
      <xdr:spPr>
        <a:xfrm>
          <a:off x="4953001" y="10264587"/>
          <a:ext cx="9457764" cy="14635121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000" kern="1200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6</xdr:col>
      <xdr:colOff>358588</xdr:colOff>
      <xdr:row>21</xdr:row>
      <xdr:rowOff>22413</xdr:rowOff>
    </xdr:from>
    <xdr:to>
      <xdr:col>16</xdr:col>
      <xdr:colOff>582706</xdr:colOff>
      <xdr:row>54</xdr:row>
      <xdr:rowOff>125755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AEF3530-AB27-4C41-AEF2-23D5AED03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723334</xdr:colOff>
      <xdr:row>56</xdr:row>
      <xdr:rowOff>44824</xdr:rowOff>
    </xdr:from>
    <xdr:to>
      <xdr:col>32</xdr:col>
      <xdr:colOff>105948</xdr:colOff>
      <xdr:row>137</xdr:row>
      <xdr:rowOff>160957</xdr:rowOff>
    </xdr:to>
    <xdr:sp macro="" textlink="">
      <xdr:nvSpPr>
        <xdr:cNvPr id="6" name="Rectangle : avec coins arrondis en haut 5">
          <a:extLst>
            <a:ext uri="{FF2B5EF4-FFF2-40B4-BE49-F238E27FC236}">
              <a16:creationId xmlns:a16="http://schemas.microsoft.com/office/drawing/2014/main" id="{DB64E708-FF8C-4534-A9DC-29126B3E7293}"/>
            </a:ext>
          </a:extLst>
        </xdr:cNvPr>
        <xdr:cNvSpPr/>
      </xdr:nvSpPr>
      <xdr:spPr>
        <a:xfrm>
          <a:off x="16366746" y="10242177"/>
          <a:ext cx="10364378" cy="14638956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000" kern="1200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7</xdr:col>
      <xdr:colOff>358589</xdr:colOff>
      <xdr:row>66</xdr:row>
      <xdr:rowOff>112059</xdr:rowOff>
    </xdr:from>
    <xdr:to>
      <xdr:col>15</xdr:col>
      <xdr:colOff>349760</xdr:colOff>
      <xdr:row>97</xdr:row>
      <xdr:rowOff>127067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FDC307-1C2C-42E1-9C10-2BE68BC07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44824</xdr:colOff>
      <xdr:row>100</xdr:row>
      <xdr:rowOff>92364</xdr:rowOff>
    </xdr:from>
    <xdr:to>
      <xdr:col>15</xdr:col>
      <xdr:colOff>534010</xdr:colOff>
      <xdr:row>134</xdr:row>
      <xdr:rowOff>55997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D59B951D-FC69-46BA-88B5-D18D66B7F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184727</xdr:colOff>
      <xdr:row>56</xdr:row>
      <xdr:rowOff>0</xdr:rowOff>
    </xdr:from>
    <xdr:to>
      <xdr:col>47</xdr:col>
      <xdr:colOff>303838</xdr:colOff>
      <xdr:row>137</xdr:row>
      <xdr:rowOff>153746</xdr:rowOff>
    </xdr:to>
    <xdr:sp macro="" textlink="">
      <xdr:nvSpPr>
        <xdr:cNvPr id="3" name="Rectangle : avec coins arrondis en haut 2">
          <a:extLst>
            <a:ext uri="{FF2B5EF4-FFF2-40B4-BE49-F238E27FC236}">
              <a16:creationId xmlns:a16="http://schemas.microsoft.com/office/drawing/2014/main" id="{069B9E97-3D4E-4C5D-766C-DB64BA31CC70}"/>
            </a:ext>
          </a:extLst>
        </xdr:cNvPr>
        <xdr:cNvSpPr/>
      </xdr:nvSpPr>
      <xdr:spPr>
        <a:xfrm>
          <a:off x="28378727" y="10197353"/>
          <a:ext cx="10316464" cy="14676569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000" kern="1200">
            <a:solidFill>
              <a:sysClr val="windowText" lastClr="000000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19</xdr:col>
      <xdr:colOff>418354</xdr:colOff>
      <xdr:row>99</xdr:row>
      <xdr:rowOff>112059</xdr:rowOff>
    </xdr:from>
    <xdr:to>
      <xdr:col>31</xdr:col>
      <xdr:colOff>397186</xdr:colOff>
      <xdr:row>135</xdr:row>
      <xdr:rowOff>46408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3F9EDCA-D39A-4038-B38A-FFC4A212C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134471</xdr:colOff>
      <xdr:row>66</xdr:row>
      <xdr:rowOff>-1</xdr:rowOff>
    </xdr:from>
    <xdr:to>
      <xdr:col>31</xdr:col>
      <xdr:colOff>17658</xdr:colOff>
      <xdr:row>96</xdr:row>
      <xdr:rowOff>146014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Graphique 18">
              <a:extLst>
                <a:ext uri="{FF2B5EF4-FFF2-40B4-BE49-F238E27FC236}">
                  <a16:creationId xmlns:a16="http://schemas.microsoft.com/office/drawing/2014/main" id="{BAF39C43-93A0-4C3B-A10E-7DDC6CB4FE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012771" y="12715874"/>
              <a:ext cx="8369962" cy="58610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36</xdr:col>
      <xdr:colOff>2038</xdr:colOff>
      <xdr:row>65</xdr:row>
      <xdr:rowOff>134471</xdr:rowOff>
    </xdr:from>
    <xdr:to>
      <xdr:col>45</xdr:col>
      <xdr:colOff>763359</xdr:colOff>
      <xdr:row>98</xdr:row>
      <xdr:rowOff>67235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Graphique 19">
              <a:extLst>
                <a:ext uri="{FF2B5EF4-FFF2-40B4-BE49-F238E27FC236}">
                  <a16:creationId xmlns:a16="http://schemas.microsoft.com/office/drawing/2014/main" id="{7A021198-0EF5-4411-84B5-3F2CC90EC4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224738" y="12659846"/>
              <a:ext cx="7705046" cy="62192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35</xdr:col>
      <xdr:colOff>254000</xdr:colOff>
      <xdr:row>99</xdr:row>
      <xdr:rowOff>138547</xdr:rowOff>
    </xdr:from>
    <xdr:to>
      <xdr:col>46</xdr:col>
      <xdr:colOff>187615</xdr:colOff>
      <xdr:row>135</xdr:row>
      <xdr:rowOff>69273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6A0766EE-43DE-486D-98B7-D4E2120C4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694764</xdr:colOff>
      <xdr:row>21</xdr:row>
      <xdr:rowOff>22411</xdr:rowOff>
    </xdr:from>
    <xdr:to>
      <xdr:col>46</xdr:col>
      <xdr:colOff>448235</xdr:colOff>
      <xdr:row>54</xdr:row>
      <xdr:rowOff>-1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A743639B-88C3-42C0-8F39-94167BA0A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712084</xdr:colOff>
      <xdr:row>154</xdr:row>
      <xdr:rowOff>92366</xdr:rowOff>
    </xdr:from>
    <xdr:to>
      <xdr:col>14</xdr:col>
      <xdr:colOff>780339</xdr:colOff>
      <xdr:row>190</xdr:row>
      <xdr:rowOff>138546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1E5343EE-E2A3-443F-9E24-3BA65AAE49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37</xdr:col>
      <xdr:colOff>44824</xdr:colOff>
      <xdr:row>154</xdr:row>
      <xdr:rowOff>89649</xdr:rowOff>
    </xdr:from>
    <xdr:to>
      <xdr:col>45</xdr:col>
      <xdr:colOff>582706</xdr:colOff>
      <xdr:row>190</xdr:row>
      <xdr:rowOff>22412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9401F3F8-5D75-4A30-8D9A-3EC73619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210536</xdr:colOff>
      <xdr:row>314</xdr:row>
      <xdr:rowOff>134471</xdr:rowOff>
    </xdr:from>
    <xdr:to>
      <xdr:col>48</xdr:col>
      <xdr:colOff>187444</xdr:colOff>
      <xdr:row>358</xdr:row>
      <xdr:rowOff>38781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340DABEC-132D-40C2-8DE5-53B024363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300181</xdr:colOff>
      <xdr:row>192</xdr:row>
      <xdr:rowOff>0</xdr:rowOff>
    </xdr:from>
    <xdr:to>
      <xdr:col>17</xdr:col>
      <xdr:colOff>23090</xdr:colOff>
      <xdr:row>284</xdr:row>
      <xdr:rowOff>92364</xdr:rowOff>
    </xdr:to>
    <xdr:sp macro="" textlink="">
      <xdr:nvSpPr>
        <xdr:cNvPr id="27" name="Rectangle : avec coins arrondis en haut 26">
          <a:extLst>
            <a:ext uri="{FF2B5EF4-FFF2-40B4-BE49-F238E27FC236}">
              <a16:creationId xmlns:a16="http://schemas.microsoft.com/office/drawing/2014/main" id="{5359763F-CD0D-05A9-A10E-607F303CBB17}"/>
            </a:ext>
          </a:extLst>
        </xdr:cNvPr>
        <xdr:cNvSpPr/>
      </xdr:nvSpPr>
      <xdr:spPr>
        <a:xfrm>
          <a:off x="4225636" y="35606182"/>
          <a:ext cx="10644909" cy="17087273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6</xdr:col>
      <xdr:colOff>85047</xdr:colOff>
      <xdr:row>237</xdr:row>
      <xdr:rowOff>45503</xdr:rowOff>
    </xdr:from>
    <xdr:to>
      <xdr:col>16</xdr:col>
      <xdr:colOff>255621</xdr:colOff>
      <xdr:row>283</xdr:row>
      <xdr:rowOff>156883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8CFEE14F-AE99-495D-A762-F1A8D3526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403413</xdr:colOff>
      <xdr:row>200</xdr:row>
      <xdr:rowOff>67235</xdr:rowOff>
    </xdr:from>
    <xdr:to>
      <xdr:col>15</xdr:col>
      <xdr:colOff>112059</xdr:colOff>
      <xdr:row>235</xdr:row>
      <xdr:rowOff>28371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8346D92-A778-4933-9E7D-CC96EC2E7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711743</xdr:colOff>
      <xdr:row>192</xdr:row>
      <xdr:rowOff>44823</xdr:rowOff>
    </xdr:from>
    <xdr:to>
      <xdr:col>32</xdr:col>
      <xdr:colOff>365379</xdr:colOff>
      <xdr:row>285</xdr:row>
      <xdr:rowOff>4075</xdr:rowOff>
    </xdr:to>
    <xdr:sp macro="" textlink="">
      <xdr:nvSpPr>
        <xdr:cNvPr id="28" name="Rectangle : avec coins arrondis en haut 27">
          <a:extLst>
            <a:ext uri="{FF2B5EF4-FFF2-40B4-BE49-F238E27FC236}">
              <a16:creationId xmlns:a16="http://schemas.microsoft.com/office/drawing/2014/main" id="{BE6B1C51-173C-42F2-8B14-C1E512F3CD9D}"/>
            </a:ext>
          </a:extLst>
        </xdr:cNvPr>
        <xdr:cNvSpPr/>
      </xdr:nvSpPr>
      <xdr:spPr>
        <a:xfrm>
          <a:off x="16355155" y="34626176"/>
          <a:ext cx="10635400" cy="16633605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19</xdr:col>
      <xdr:colOff>367966</xdr:colOff>
      <xdr:row>237</xdr:row>
      <xdr:rowOff>67236</xdr:rowOff>
    </xdr:from>
    <xdr:to>
      <xdr:col>31</xdr:col>
      <xdr:colOff>612283</xdr:colOff>
      <xdr:row>284</xdr:row>
      <xdr:rowOff>-1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503E8B7A-C701-42AC-9029-E263CDE351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667338</xdr:colOff>
      <xdr:row>201</xdr:row>
      <xdr:rowOff>25128</xdr:rowOff>
    </xdr:from>
    <xdr:to>
      <xdr:col>30</xdr:col>
      <xdr:colOff>347791</xdr:colOff>
      <xdr:row>236</xdr:row>
      <xdr:rowOff>101853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1174641-3640-4BDF-853F-178253ECE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224118</xdr:colOff>
      <xdr:row>191</xdr:row>
      <xdr:rowOff>116132</xdr:rowOff>
    </xdr:from>
    <xdr:to>
      <xdr:col>47</xdr:col>
      <xdr:colOff>662845</xdr:colOff>
      <xdr:row>284</xdr:row>
      <xdr:rowOff>23769</xdr:rowOff>
    </xdr:to>
    <xdr:sp macro="" textlink="">
      <xdr:nvSpPr>
        <xdr:cNvPr id="29" name="Rectangle : avec coins arrondis en haut 28">
          <a:extLst>
            <a:ext uri="{FF2B5EF4-FFF2-40B4-BE49-F238E27FC236}">
              <a16:creationId xmlns:a16="http://schemas.microsoft.com/office/drawing/2014/main" id="{725BFFD3-59C8-40F2-A18B-504CF40C7623}"/>
            </a:ext>
          </a:extLst>
        </xdr:cNvPr>
        <xdr:cNvSpPr/>
      </xdr:nvSpPr>
      <xdr:spPr>
        <a:xfrm>
          <a:off x="28418118" y="34518191"/>
          <a:ext cx="10636080" cy="16581990"/>
        </a:xfrm>
        <a:prstGeom prst="round2Same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35</xdr:col>
      <xdr:colOff>589497</xdr:colOff>
      <xdr:row>201</xdr:row>
      <xdr:rowOff>22413</xdr:rowOff>
    </xdr:from>
    <xdr:to>
      <xdr:col>46</xdr:col>
      <xdr:colOff>658770</xdr:colOff>
      <xdr:row>236</xdr:row>
      <xdr:rowOff>48221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0606D05-46F7-451C-9827-FAB1A6D468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35</xdr:col>
      <xdr:colOff>89645</xdr:colOff>
      <xdr:row>237</xdr:row>
      <xdr:rowOff>156881</xdr:rowOff>
    </xdr:from>
    <xdr:to>
      <xdr:col>47</xdr:col>
      <xdr:colOff>195221</xdr:colOff>
      <xdr:row>283</xdr:row>
      <xdr:rowOff>67234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EE7804AA-5FA3-4C2E-88B8-294656F34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22</xdr:col>
      <xdr:colOff>272676</xdr:colOff>
      <xdr:row>2</xdr:row>
      <xdr:rowOff>19924</xdr:rowOff>
    </xdr:from>
    <xdr:to>
      <xdr:col>31</xdr:col>
      <xdr:colOff>268940</xdr:colOff>
      <xdr:row>9</xdr:row>
      <xdr:rowOff>134472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76536A5-B9EC-43DA-AA44-1D6094AF266F}"/>
            </a:ext>
          </a:extLst>
        </xdr:cNvPr>
        <xdr:cNvSpPr txBox="1"/>
      </xdr:nvSpPr>
      <xdr:spPr>
        <a:xfrm>
          <a:off x="19053735" y="378512"/>
          <a:ext cx="7055970" cy="1369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54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TABLEAU</a:t>
          </a:r>
          <a:r>
            <a:rPr lang="fr-FR" sz="5400" b="1" kern="12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BORD</a:t>
          </a:r>
          <a:endParaRPr lang="fr-FR" sz="54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21</xdr:col>
      <xdr:colOff>84666</xdr:colOff>
      <xdr:row>1</xdr:row>
      <xdr:rowOff>82177</xdr:rowOff>
    </xdr:from>
    <xdr:to>
      <xdr:col>32</xdr:col>
      <xdr:colOff>338665</xdr:colOff>
      <xdr:row>9</xdr:row>
      <xdr:rowOff>281393</xdr:rowOff>
    </xdr:to>
    <xdr:sp macro="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59DB0FC2-7D37-AAA3-D2DA-373E3B71E3A0}"/>
            </a:ext>
          </a:extLst>
        </xdr:cNvPr>
        <xdr:cNvSpPr/>
      </xdr:nvSpPr>
      <xdr:spPr>
        <a:xfrm>
          <a:off x="18081313" y="261471"/>
          <a:ext cx="8882528" cy="1633569"/>
        </a:xfrm>
        <a:prstGeom prst="roundRect">
          <a:avLst/>
        </a:prstGeom>
        <a:noFill/>
        <a:ln w="3810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381001</xdr:colOff>
      <xdr:row>58</xdr:row>
      <xdr:rowOff>22412</xdr:rowOff>
    </xdr:from>
    <xdr:to>
      <xdr:col>12</xdr:col>
      <xdr:colOff>425823</xdr:colOff>
      <xdr:row>63</xdr:row>
      <xdr:rowOff>-1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A9F664AE-18B2-4593-FFE8-9647D3B159C9}"/>
            </a:ext>
          </a:extLst>
        </xdr:cNvPr>
        <xdr:cNvSpPr txBox="1"/>
      </xdr:nvSpPr>
      <xdr:spPr>
        <a:xfrm>
          <a:off x="8068236" y="10578353"/>
          <a:ext cx="3294528" cy="874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1</a:t>
          </a:r>
          <a:endParaRPr lang="fr-FR" sz="3600" b="1" kern="120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23</xdr:col>
      <xdr:colOff>454393</xdr:colOff>
      <xdr:row>58</xdr:row>
      <xdr:rowOff>22411</xdr:rowOff>
    </xdr:from>
    <xdr:to>
      <xdr:col>27</xdr:col>
      <xdr:colOff>694765</xdr:colOff>
      <xdr:row>62</xdr:row>
      <xdr:rowOff>179292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A020AD02-5ED6-4F73-965F-D3B0EDB48556}"/>
            </a:ext>
          </a:extLst>
        </xdr:cNvPr>
        <xdr:cNvSpPr txBox="1"/>
      </xdr:nvSpPr>
      <xdr:spPr>
        <a:xfrm>
          <a:off x="20019864" y="10578352"/>
          <a:ext cx="3378019" cy="874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2</a:t>
          </a:r>
          <a:endParaRPr lang="fr-FR" sz="3600" b="1" kern="12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38</xdr:col>
      <xdr:colOff>700198</xdr:colOff>
      <xdr:row>57</xdr:row>
      <xdr:rowOff>44823</xdr:rowOff>
    </xdr:from>
    <xdr:to>
      <xdr:col>43</xdr:col>
      <xdr:colOff>336177</xdr:colOff>
      <xdr:row>62</xdr:row>
      <xdr:rowOff>22410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6AB953A1-2269-4E0F-B5DD-D0520733AB0F}"/>
            </a:ext>
          </a:extLst>
        </xdr:cNvPr>
        <xdr:cNvSpPr txBox="1"/>
      </xdr:nvSpPr>
      <xdr:spPr>
        <a:xfrm>
          <a:off x="32031845" y="10421470"/>
          <a:ext cx="3558038" cy="874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3</a:t>
          </a:r>
          <a:endParaRPr lang="fr-FR" sz="3600" b="1" kern="12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19</xdr:col>
      <xdr:colOff>425824</xdr:colOff>
      <xdr:row>146</xdr:row>
      <xdr:rowOff>89646</xdr:rowOff>
    </xdr:from>
    <xdr:to>
      <xdr:col>32</xdr:col>
      <xdr:colOff>313766</xdr:colOff>
      <xdr:row>152</xdr:row>
      <xdr:rowOff>67235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F1081D0-0BD0-326E-5A86-9B00B69C9341}"/>
            </a:ext>
          </a:extLst>
        </xdr:cNvPr>
        <xdr:cNvSpPr txBox="1"/>
      </xdr:nvSpPr>
      <xdr:spPr>
        <a:xfrm>
          <a:off x="16853648" y="26423470"/>
          <a:ext cx="10085294" cy="1053353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4800" b="1" kern="1200">
              <a:solidFill>
                <a:schemeClr val="bg1"/>
              </a:solidFill>
            </a:rPr>
            <a:t>SEMESTRE</a:t>
          </a:r>
          <a:r>
            <a:rPr lang="fr-FR" sz="4800" b="1" kern="1200" baseline="0">
              <a:solidFill>
                <a:schemeClr val="bg1"/>
              </a:solidFill>
            </a:rPr>
            <a:t> 2</a:t>
          </a:r>
          <a:endParaRPr lang="fr-FR" sz="4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179296</xdr:colOff>
      <xdr:row>194</xdr:row>
      <xdr:rowOff>0</xdr:rowOff>
    </xdr:from>
    <xdr:to>
      <xdr:col>12</xdr:col>
      <xdr:colOff>291355</xdr:colOff>
      <xdr:row>198</xdr:row>
      <xdr:rowOff>156882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383DC984-B81E-F68B-C802-9B666BA0A897}"/>
            </a:ext>
          </a:extLst>
        </xdr:cNvPr>
        <xdr:cNvSpPr txBox="1"/>
      </xdr:nvSpPr>
      <xdr:spPr>
        <a:xfrm>
          <a:off x="7866531" y="34939941"/>
          <a:ext cx="3361765" cy="874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latin typeface="Segoe UI" panose="020B0502040204020203" pitchFamily="34" charset="0"/>
              <a:cs typeface="Segoe UI" panose="020B0502040204020203" pitchFamily="34" charset="0"/>
            </a:rPr>
            <a:t> 1</a:t>
          </a:r>
          <a:endParaRPr lang="fr-FR" sz="3600" b="1" kern="12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23</xdr:col>
      <xdr:colOff>566406</xdr:colOff>
      <xdr:row>194</xdr:row>
      <xdr:rowOff>84892</xdr:rowOff>
    </xdr:from>
    <xdr:to>
      <xdr:col>28</xdr:col>
      <xdr:colOff>67236</xdr:colOff>
      <xdr:row>199</xdr:row>
      <xdr:rowOff>62480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20B711E9-D607-4C08-AC33-8880E2A410D7}"/>
            </a:ext>
          </a:extLst>
        </xdr:cNvPr>
        <xdr:cNvSpPr txBox="1"/>
      </xdr:nvSpPr>
      <xdr:spPr>
        <a:xfrm>
          <a:off x="20131877" y="35024833"/>
          <a:ext cx="3422888" cy="874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latin typeface="Segoe UI" panose="020B0502040204020203" pitchFamily="34" charset="0"/>
              <a:cs typeface="Segoe UI" panose="020B0502040204020203" pitchFamily="34" charset="0"/>
            </a:rPr>
            <a:t> 2</a:t>
          </a:r>
          <a:endParaRPr lang="fr-FR" sz="3600" b="1" kern="12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39</xdr:col>
      <xdr:colOff>201705</xdr:colOff>
      <xdr:row>193</xdr:row>
      <xdr:rowOff>104587</xdr:rowOff>
    </xdr:from>
    <xdr:to>
      <xdr:col>43</xdr:col>
      <xdr:colOff>403412</xdr:colOff>
      <xdr:row>198</xdr:row>
      <xdr:rowOff>82175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3F58D37D-BBB2-487A-8DC8-E01D812B4598}"/>
            </a:ext>
          </a:extLst>
        </xdr:cNvPr>
        <xdr:cNvSpPr txBox="1"/>
      </xdr:nvSpPr>
      <xdr:spPr>
        <a:xfrm>
          <a:off x="32317764" y="34865234"/>
          <a:ext cx="3339354" cy="874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3600" b="1" kern="1200">
              <a:latin typeface="Segoe UI" panose="020B0502040204020203" pitchFamily="34" charset="0"/>
              <a:cs typeface="Segoe UI" panose="020B0502040204020203" pitchFamily="34" charset="0"/>
            </a:rPr>
            <a:t>Compétence</a:t>
          </a:r>
          <a:r>
            <a:rPr lang="fr-FR" sz="3600" b="1" kern="1200" baseline="0">
              <a:latin typeface="Segoe UI" panose="020B0502040204020203" pitchFamily="34" charset="0"/>
              <a:cs typeface="Segoe UI" panose="020B0502040204020203" pitchFamily="34" charset="0"/>
            </a:rPr>
            <a:t> 3</a:t>
          </a:r>
          <a:endParaRPr lang="fr-FR" sz="3600" b="1" kern="12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19</xdr:col>
      <xdr:colOff>67233</xdr:colOff>
      <xdr:row>297</xdr:row>
      <xdr:rowOff>1</xdr:rowOff>
    </xdr:from>
    <xdr:to>
      <xdr:col>31</xdr:col>
      <xdr:colOff>739586</xdr:colOff>
      <xdr:row>302</xdr:row>
      <xdr:rowOff>156883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81E5D40C-5574-41DD-A3DA-DD432249F6B9}"/>
            </a:ext>
          </a:extLst>
        </xdr:cNvPr>
        <xdr:cNvSpPr txBox="1"/>
      </xdr:nvSpPr>
      <xdr:spPr>
        <a:xfrm>
          <a:off x="16495057" y="53407236"/>
          <a:ext cx="10085294" cy="1053353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48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COMPARATIF</a:t>
          </a:r>
          <a:r>
            <a:rPr lang="fr-FR" sz="4800" b="1" kern="12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fr-FR" sz="48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20</xdr:col>
      <xdr:colOff>291352</xdr:colOff>
      <xdr:row>12</xdr:row>
      <xdr:rowOff>112059</xdr:rowOff>
    </xdr:from>
    <xdr:to>
      <xdr:col>33</xdr:col>
      <xdr:colOff>179293</xdr:colOff>
      <xdr:row>18</xdr:row>
      <xdr:rowOff>89648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6C1F87F1-5712-4FF7-B73A-3ADD6EDA2A19}"/>
            </a:ext>
          </a:extLst>
        </xdr:cNvPr>
        <xdr:cNvSpPr txBox="1"/>
      </xdr:nvSpPr>
      <xdr:spPr>
        <a:xfrm>
          <a:off x="17503587" y="2420471"/>
          <a:ext cx="10085294" cy="1053353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4800" b="1" kern="1200">
              <a:solidFill>
                <a:schemeClr val="bg1"/>
              </a:solidFill>
            </a:rPr>
            <a:t>SEMESTRE</a:t>
          </a:r>
          <a:r>
            <a:rPr lang="fr-FR" sz="4800" b="1" kern="1200" baseline="0">
              <a:solidFill>
                <a:schemeClr val="bg1"/>
              </a:solidFill>
            </a:rPr>
            <a:t> 1</a:t>
          </a:r>
          <a:endParaRPr lang="fr-FR" sz="48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672352</xdr:colOff>
      <xdr:row>21</xdr:row>
      <xdr:rowOff>0</xdr:rowOff>
    </xdr:from>
    <xdr:to>
      <xdr:col>32</xdr:col>
      <xdr:colOff>89648</xdr:colOff>
      <xdr:row>54</xdr:row>
      <xdr:rowOff>22412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8C4FE8F2-12AA-4AD8-8541-30C6BE70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627529</xdr:colOff>
      <xdr:row>154</xdr:row>
      <xdr:rowOff>89648</xdr:rowOff>
    </xdr:from>
    <xdr:to>
      <xdr:col>31</xdr:col>
      <xdr:colOff>425823</xdr:colOff>
      <xdr:row>189</xdr:row>
      <xdr:rowOff>134470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964ABE58-8737-4238-A269-FE83B8477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20</xdr:col>
      <xdr:colOff>22412</xdr:colOff>
      <xdr:row>314</xdr:row>
      <xdr:rowOff>44824</xdr:rowOff>
    </xdr:from>
    <xdr:to>
      <xdr:col>32</xdr:col>
      <xdr:colOff>537883</xdr:colOff>
      <xdr:row>358</xdr:row>
      <xdr:rowOff>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008F2EF-FFBD-43E1-BCDB-CFE346A16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788275</xdr:colOff>
      <xdr:row>0</xdr:row>
      <xdr:rowOff>140137</xdr:rowOff>
    </xdr:from>
    <xdr:to>
      <xdr:col>10</xdr:col>
      <xdr:colOff>2163378</xdr:colOff>
      <xdr:row>2</xdr:row>
      <xdr:rowOff>87586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ED99EA6B-4339-EC79-43A0-E7EEFFDC2719}"/>
            </a:ext>
          </a:extLst>
        </xdr:cNvPr>
        <xdr:cNvSpPr txBox="1"/>
      </xdr:nvSpPr>
      <xdr:spPr>
        <a:xfrm>
          <a:off x="7068206" y="140137"/>
          <a:ext cx="2785241" cy="315311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Point</a:t>
          </a:r>
          <a:r>
            <a:rPr lang="fr-FR" sz="1800" b="1" kern="12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sur mon année</a:t>
          </a:r>
          <a:endParaRPr lang="fr-FR" sz="18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686351</xdr:colOff>
      <xdr:row>0</xdr:row>
      <xdr:rowOff>181554</xdr:rowOff>
    </xdr:from>
    <xdr:to>
      <xdr:col>7</xdr:col>
      <xdr:colOff>1172022</xdr:colOff>
      <xdr:row>53</xdr:row>
      <xdr:rowOff>8659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7F53FB-2E6A-FB1E-E220-DC0FD119F57B}"/>
            </a:ext>
          </a:extLst>
        </xdr:cNvPr>
        <xdr:cNvSpPr/>
      </xdr:nvSpPr>
      <xdr:spPr>
        <a:xfrm>
          <a:off x="8522828" y="181554"/>
          <a:ext cx="6503739" cy="1031326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5</xdr:col>
      <xdr:colOff>803867</xdr:colOff>
      <xdr:row>1</xdr:row>
      <xdr:rowOff>142351</xdr:rowOff>
    </xdr:from>
    <xdr:to>
      <xdr:col>6</xdr:col>
      <xdr:colOff>225137</xdr:colOff>
      <xdr:row>3</xdr:row>
      <xdr:rowOff>58616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47084C8C-174D-67FA-D891-0B5312691208}"/>
            </a:ext>
          </a:extLst>
        </xdr:cNvPr>
        <xdr:cNvSpPr txBox="1"/>
      </xdr:nvSpPr>
      <xdr:spPr>
        <a:xfrm>
          <a:off x="11160140" y="324192"/>
          <a:ext cx="1179065" cy="331901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b="1" kern="12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</a:t>
          </a:r>
          <a:r>
            <a:rPr lang="fr-FR" sz="1600" b="1" kern="12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SAVOIR</a:t>
          </a:r>
          <a:endParaRPr lang="fr-FR" sz="16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</xdr:col>
      <xdr:colOff>597477</xdr:colOff>
      <xdr:row>20</xdr:row>
      <xdr:rowOff>136260</xdr:rowOff>
    </xdr:from>
    <xdr:to>
      <xdr:col>7</xdr:col>
      <xdr:colOff>770660</xdr:colOff>
      <xdr:row>29</xdr:row>
      <xdr:rowOff>155862</xdr:rowOff>
    </xdr:to>
    <xdr:sp macro="" textlink="">
      <xdr:nvSpPr>
        <xdr:cNvPr id="10241" name="Text Box 1">
          <a:extLst>
            <a:ext uri="{FF2B5EF4-FFF2-40B4-BE49-F238E27FC236}">
              <a16:creationId xmlns:a16="http://schemas.microsoft.com/office/drawing/2014/main" id="{0D610410-D638-40B2-F0DD-B3B4F769F62F}"/>
            </a:ext>
          </a:extLst>
        </xdr:cNvPr>
        <xdr:cNvSpPr txBox="1">
          <a:spLocks noChangeArrowheads="1"/>
        </xdr:cNvSpPr>
      </xdr:nvSpPr>
      <xdr:spPr bwMode="auto">
        <a:xfrm>
          <a:off x="9126682" y="4483124"/>
          <a:ext cx="5498523" cy="174276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>
          <a:solidFill>
            <a:schemeClr val="accent2">
              <a:lumMod val="75000"/>
            </a:schemeClr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Conditions de passage en deuxième année :</a:t>
          </a:r>
        </a:p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    - </a:t>
          </a: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Moyenne annuelle supérieure ou égale à 10 dans au moins deux compétences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    </a:t>
          </a:r>
          <a:r>
            <a:rPr lang="fr-FR" sz="1100" b="1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- </a:t>
          </a: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Moyenne annuelle strictement inférieure à 8 dans aucune compétence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Segoe UI" panose="020B0502040204020203" pitchFamily="34" charset="0"/>
            <a:ea typeface="Calibri"/>
            <a:cs typeface="Segoe UI" panose="020B0502040204020203" pitchFamily="34" charset="0"/>
          </a:endParaRPr>
        </a:p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Attention</a:t>
          </a: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, le passage en deuxième année ne signifie pas que le niveau 1 de toutes les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compétences est atteint.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rPr>
            <a:t>Le niveau 1 n'est atteint que pour les compétences dont la moyenne est supérieure ou égale à 10.</a:t>
          </a:r>
        </a:p>
      </xdr:txBody>
    </xdr:sp>
    <xdr:clientData/>
  </xdr:twoCellAnchor>
  <xdr:twoCellAnchor editAs="oneCell">
    <xdr:from>
      <xdr:col>5</xdr:col>
      <xdr:colOff>131682</xdr:colOff>
      <xdr:row>6</xdr:row>
      <xdr:rowOff>170899</xdr:rowOff>
    </xdr:from>
    <xdr:to>
      <xdr:col>6</xdr:col>
      <xdr:colOff>1046285</xdr:colOff>
      <xdr:row>19</xdr:row>
      <xdr:rowOff>21725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E24C85-F49B-BF98-AC76-3639A4213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7955" y="1313899"/>
          <a:ext cx="2672398" cy="2656371"/>
        </a:xfrm>
        <a:prstGeom prst="rect">
          <a:avLst/>
        </a:prstGeom>
      </xdr:spPr>
    </xdr:pic>
    <xdr:clientData/>
  </xdr:twoCellAnchor>
  <xdr:twoCellAnchor>
    <xdr:from>
      <xdr:col>4</xdr:col>
      <xdr:colOff>644484</xdr:colOff>
      <xdr:row>35</xdr:row>
      <xdr:rowOff>76219</xdr:rowOff>
    </xdr:from>
    <xdr:to>
      <xdr:col>7</xdr:col>
      <xdr:colOff>770660</xdr:colOff>
      <xdr:row>40</xdr:row>
      <xdr:rowOff>138546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D1279C22-31CE-75F6-F9ED-CE77BB222777}"/>
            </a:ext>
          </a:extLst>
        </xdr:cNvPr>
        <xdr:cNvSpPr txBox="1"/>
      </xdr:nvSpPr>
      <xdr:spPr>
        <a:xfrm>
          <a:off x="9173689" y="7280583"/>
          <a:ext cx="5451516" cy="97153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absence est comptabilisée + ABI en cas d’évaluation ou de travail à rendre (calcul des moyennes bloqué. Seul le jury de fin d’année peut modifier le ABI en 0 par exemple.)</a:t>
          </a:r>
        </a:p>
        <a:p>
          <a:pPr lvl="0"/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0,2 point en moins par absence sur la moyenne de chaque UE 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dès la 6</a:t>
          </a:r>
          <a:r>
            <a:rPr lang="fr-FR" sz="1100" b="1" baseline="30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ème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absence.</a:t>
          </a:r>
        </a:p>
        <a:p>
          <a:endParaRPr lang="fr-FR" sz="1100" kern="1200"/>
        </a:p>
      </xdr:txBody>
    </xdr:sp>
    <xdr:clientData/>
  </xdr:twoCellAnchor>
  <xdr:twoCellAnchor>
    <xdr:from>
      <xdr:col>4</xdr:col>
      <xdr:colOff>602900</xdr:colOff>
      <xdr:row>47</xdr:row>
      <xdr:rowOff>133978</xdr:rowOff>
    </xdr:from>
    <xdr:to>
      <xdr:col>7</xdr:col>
      <xdr:colOff>857249</xdr:colOff>
      <xdr:row>50</xdr:row>
      <xdr:rowOff>159100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C8781179-7359-1098-8AFB-4E80CF6A49C5}"/>
            </a:ext>
          </a:extLst>
        </xdr:cNvPr>
        <xdr:cNvSpPr txBox="1"/>
      </xdr:nvSpPr>
      <xdr:spPr>
        <a:xfrm>
          <a:off x="9132105" y="9529092"/>
          <a:ext cx="5579689" cy="570644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 kern="1200"/>
            <a:t>NB</a:t>
          </a:r>
          <a:r>
            <a:rPr lang="fr-FR" sz="1100" kern="1200"/>
            <a:t> </a:t>
          </a:r>
          <a:r>
            <a:rPr lang="fr-FR" sz="1100" b="1" kern="1200"/>
            <a:t>:</a:t>
          </a:r>
          <a:r>
            <a:rPr lang="fr-FR" sz="1100" kern="1200"/>
            <a:t> </a:t>
          </a:r>
          <a:r>
            <a:rPr lang="fr-FR"/>
            <a:t>Pour gérer les ABI dans votre outil personnel, accédez simplement au menu, sélectionnez l'option "Ajouter une note", saisissez "ABI", et laissez Excel se charger du reste.</a:t>
          </a:r>
          <a:endParaRPr lang="fr-FR" sz="1100" kern="12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4E39A9-D75B-4229-8B62-93B6834CB1A3}" name="Tableau4" displayName="Tableau4" ref="A1:H54" totalsRowShown="0">
  <autoFilter ref="A1:H54" xr:uid="{6F4E39A9-D75B-4229-8B62-93B6834CB1A3}"/>
  <tableColumns count="8">
    <tableColumn id="1" xr3:uid="{9EDD6D30-FD0C-4CFE-BDB3-E50C9439FBE3}" name="Colonne1"/>
    <tableColumn id="2" xr3:uid="{CD742BE5-AB60-47AA-8BCA-B5745C6C0293}" name="Coefficient"/>
    <tableColumn id="3" xr3:uid="{05F97542-185E-4710-91D8-10C4FD15435D}" name="Moyenne"/>
    <tableColumn id="4" xr3:uid="{F160C747-A2F4-4FBB-8047-1A28FB64C2E0}" name="Devoir n°1"/>
    <tableColumn id="5" xr3:uid="{E7E4C31E-2A91-4DF6-9AE6-E643E93A8A39}" name="Devoir n°2"/>
    <tableColumn id="6" xr3:uid="{08AC4180-B090-4EA5-BED1-016EDF06466B}" name="Devoir n°3"/>
    <tableColumn id="7" xr3:uid="{88FF9490-C756-4D0F-BFB3-375EA3098388}" name="Devoir n°4"/>
    <tableColumn id="8" xr3:uid="{8BC414D4-B8AC-4223-A121-7730BCA4D4F8}" name="Devoir n°5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ontrol" Target="../activeX/activeX6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8.emf"/><Relationship Id="rId5" Type="http://schemas.openxmlformats.org/officeDocument/2006/relationships/control" Target="../activeX/activeX7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85A66-C9A0-47EA-830F-FD0A6C450DFE}">
  <sheetPr codeName="Feuil2">
    <pageSetUpPr autoPageBreaks="0"/>
  </sheetPr>
  <dimension ref="C4:O19"/>
  <sheetViews>
    <sheetView showGridLines="0" tabSelected="1" topLeftCell="A7" zoomScale="80" zoomScaleNormal="80" workbookViewId="0">
      <selection activeCell="Q7" sqref="Q7"/>
    </sheetView>
  </sheetViews>
  <sheetFormatPr baseColWidth="10" defaultColWidth="11.42578125" defaultRowHeight="15" x14ac:dyDescent="0.25"/>
  <cols>
    <col min="1" max="10" width="11.42578125" style="12"/>
    <col min="11" max="11" width="13.7109375" style="12" customWidth="1"/>
    <col min="12" max="13" width="11.42578125" style="12"/>
    <col min="14" max="14" width="20.28515625" style="12" customWidth="1"/>
    <col min="15" max="16384" width="11.42578125" style="12"/>
  </cols>
  <sheetData>
    <row r="4" spans="10:15" ht="30.75" x14ac:dyDescent="0.25">
      <c r="K4" s="72" t="s">
        <v>52</v>
      </c>
      <c r="M4" s="46"/>
      <c r="N4" s="46"/>
    </row>
    <row r="5" spans="10:15" ht="30.75" x14ac:dyDescent="0.25">
      <c r="J5" s="72" t="s">
        <v>51</v>
      </c>
      <c r="L5" s="46"/>
      <c r="M5" s="46"/>
      <c r="N5" s="46"/>
      <c r="O5" s="46"/>
    </row>
    <row r="19" spans="3:3" x14ac:dyDescent="0.25">
      <c r="C19" s="26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btnSupprimerTout">
          <controlPr defaultSize="0" autoLine="0" autoPict="0" r:id="rId5">
            <anchor moveWithCells="1">
              <from>
                <xdr:col>18</xdr:col>
                <xdr:colOff>590550</xdr:colOff>
                <xdr:row>35</xdr:row>
                <xdr:rowOff>47625</xdr:rowOff>
              </from>
              <to>
                <xdr:col>21</xdr:col>
                <xdr:colOff>447675</xdr:colOff>
                <xdr:row>38</xdr:row>
                <xdr:rowOff>19050</xdr:rowOff>
              </to>
            </anchor>
          </controlPr>
        </control>
      </mc:Choice>
      <mc:Fallback>
        <control shapeId="2052" r:id="rId4" name="btnSupprimerTout"/>
      </mc:Fallback>
    </mc:AlternateContent>
    <mc:AlternateContent xmlns:mc="http://schemas.openxmlformats.org/markup-compatibility/2006">
      <mc:Choice Requires="x14">
        <control shapeId="2051" r:id="rId6" name="btnTableauDeBord">
          <controlPr defaultSize="0" autoLine="0" r:id="rId7">
            <anchor moveWithCells="1">
              <from>
                <xdr:col>6</xdr:col>
                <xdr:colOff>495300</xdr:colOff>
                <xdr:row>28</xdr:row>
                <xdr:rowOff>104775</xdr:rowOff>
              </from>
              <to>
                <xdr:col>10</xdr:col>
                <xdr:colOff>361950</xdr:colOff>
                <xdr:row>31</xdr:row>
                <xdr:rowOff>123825</xdr:rowOff>
              </to>
            </anchor>
          </controlPr>
        </control>
      </mc:Choice>
      <mc:Fallback>
        <control shapeId="2051" r:id="rId6" name="btnTableauDeBord"/>
      </mc:Fallback>
    </mc:AlternateContent>
    <mc:AlternateContent xmlns:mc="http://schemas.openxmlformats.org/markup-compatibility/2006">
      <mc:Choice Requires="x14">
        <control shapeId="2050" r:id="rId8" name="btnModifier">
          <controlPr defaultSize="0" autoFill="0" autoLine="0" r:id="rId9">
            <anchor moveWithCells="1">
              <from>
                <xdr:col>13</xdr:col>
                <xdr:colOff>561975</xdr:colOff>
                <xdr:row>18</xdr:row>
                <xdr:rowOff>152400</xdr:rowOff>
              </from>
              <to>
                <xdr:col>17</xdr:col>
                <xdr:colOff>447675</xdr:colOff>
                <xdr:row>21</xdr:row>
                <xdr:rowOff>142875</xdr:rowOff>
              </to>
            </anchor>
          </controlPr>
        </control>
      </mc:Choice>
      <mc:Fallback>
        <control shapeId="2050" r:id="rId8" name="btnModifier"/>
      </mc:Fallback>
    </mc:AlternateContent>
    <mc:AlternateContent xmlns:mc="http://schemas.openxmlformats.org/markup-compatibility/2006">
      <mc:Choice Requires="x14">
        <control shapeId="2049" r:id="rId10" name="btnAjout">
          <controlPr defaultSize="0" autoLine="0" autoPict="0" r:id="rId11">
            <anchor moveWithCells="1">
              <from>
                <xdr:col>6</xdr:col>
                <xdr:colOff>371475</xdr:colOff>
                <xdr:row>19</xdr:row>
                <xdr:rowOff>0</xdr:rowOff>
              </from>
              <to>
                <xdr:col>10</xdr:col>
                <xdr:colOff>361950</xdr:colOff>
                <xdr:row>22</xdr:row>
                <xdr:rowOff>19050</xdr:rowOff>
              </to>
            </anchor>
          </controlPr>
        </control>
      </mc:Choice>
      <mc:Fallback>
        <control shapeId="2049" r:id="rId10" name="btnAjout"/>
      </mc:Fallback>
    </mc:AlternateContent>
    <mc:AlternateContent xmlns:mc="http://schemas.openxmlformats.org/markup-compatibility/2006">
      <mc:Choice Requires="x14">
        <control shapeId="2053" r:id="rId12" name="btnAbsence">
          <controlPr defaultSize="0" autoLine="0" autoPict="0" r:id="rId13">
            <anchor moveWithCells="1">
              <from>
                <xdr:col>13</xdr:col>
                <xdr:colOff>666750</xdr:colOff>
                <xdr:row>28</xdr:row>
                <xdr:rowOff>95250</xdr:rowOff>
              </from>
              <to>
                <xdr:col>17</xdr:col>
                <xdr:colOff>390525</xdr:colOff>
                <xdr:row>31</xdr:row>
                <xdr:rowOff>114300</xdr:rowOff>
              </to>
            </anchor>
          </controlPr>
        </control>
      </mc:Choice>
      <mc:Fallback>
        <control shapeId="2053" r:id="rId12" name="btnAbsen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E827A-1DB9-467D-89F6-9F839ABEF4BE}">
  <sheetPr codeName="Feuil3"/>
  <dimension ref="A1:L54"/>
  <sheetViews>
    <sheetView showGridLines="0" zoomScale="75" zoomScaleNormal="95" workbookViewId="0">
      <selection activeCell="J24" sqref="J24"/>
    </sheetView>
  </sheetViews>
  <sheetFormatPr baseColWidth="10" defaultColWidth="11.42578125" defaultRowHeight="15" x14ac:dyDescent="0.25"/>
  <cols>
    <col min="1" max="1" width="75" bestFit="1" customWidth="1"/>
    <col min="2" max="2" width="16.85546875" bestFit="1" customWidth="1"/>
    <col min="3" max="3" width="23.7109375" customWidth="1"/>
    <col min="4" max="4" width="18.7109375" customWidth="1"/>
    <col min="5" max="5" width="18.85546875" customWidth="1"/>
    <col min="6" max="6" width="19.28515625" customWidth="1"/>
    <col min="7" max="7" width="21" customWidth="1"/>
    <col min="8" max="8" width="23.42578125" customWidth="1"/>
    <col min="9" max="9" width="15" bestFit="1" customWidth="1"/>
    <col min="10" max="10" width="24.28515625" bestFit="1" customWidth="1"/>
    <col min="11" max="11" width="97.7109375" customWidth="1"/>
    <col min="12" max="12" width="24.42578125" bestFit="1" customWidth="1"/>
    <col min="13" max="13" width="15" bestFit="1" customWidth="1"/>
  </cols>
  <sheetData>
    <row r="1" spans="1:12" ht="18.75" x14ac:dyDescent="0.3">
      <c r="A1" t="s">
        <v>44</v>
      </c>
      <c r="B1" s="45" t="s">
        <v>40</v>
      </c>
      <c r="C1" s="45" t="s">
        <v>50</v>
      </c>
      <c r="D1" s="45" t="s">
        <v>45</v>
      </c>
      <c r="E1" s="45" t="s">
        <v>46</v>
      </c>
      <c r="F1" s="45" t="s">
        <v>47</v>
      </c>
      <c r="G1" s="45" t="s">
        <v>48</v>
      </c>
      <c r="H1" s="45" t="s">
        <v>49</v>
      </c>
      <c r="J1" s="67" t="s">
        <v>73</v>
      </c>
    </row>
    <row r="2" spans="1:12" ht="40.15" customHeight="1" x14ac:dyDescent="0.25">
      <c r="A2" s="27" t="s">
        <v>16</v>
      </c>
      <c r="B2" s="28"/>
      <c r="C2" s="28"/>
      <c r="D2" s="28"/>
      <c r="E2" s="28"/>
      <c r="F2" s="28"/>
      <c r="G2" s="28"/>
      <c r="H2" s="28"/>
      <c r="I2" s="76" t="s">
        <v>74</v>
      </c>
      <c r="J2" s="80">
        <v>0</v>
      </c>
      <c r="K2" s="33"/>
      <c r="L2" s="34"/>
    </row>
    <row r="3" spans="1:12" ht="16.5" x14ac:dyDescent="0.25">
      <c r="A3" s="13" t="s">
        <v>0</v>
      </c>
      <c r="B3">
        <f>VLOOKUP(A3,'Coef - BUT1'!B3:C22,2,0)</f>
        <v>15</v>
      </c>
      <c r="C3" s="68" cm="1">
        <f t="array" ref="C3">_xlfn.IFS(COUNTIF(D3:H3,"=ABI")&gt;0,"Moyenne bloquée",COUNTIF(D3:H3,"&gt;0")=0,"NA",TRUE,AVERAGEIF(D3:H3,"&gt;0"))</f>
        <v>14.666666666666666</v>
      </c>
      <c r="D3">
        <v>15</v>
      </c>
      <c r="E3">
        <v>14</v>
      </c>
      <c r="F3">
        <v>15</v>
      </c>
      <c r="J3" s="82"/>
      <c r="K3" s="30"/>
    </row>
    <row r="4" spans="1:12" ht="16.5" x14ac:dyDescent="0.25">
      <c r="A4" s="13" t="s">
        <v>1</v>
      </c>
      <c r="B4">
        <f>VLOOKUP(A4,'Coef - BUT1'!B4:C23,2,0)</f>
        <v>20</v>
      </c>
      <c r="C4" cm="1">
        <f t="array" ref="C4">_xlfn.IFS(COUNTIF(D4:H4,"=ABI")&gt;0,"Moyenne bloquée",COUNTIF(D4:H4,"&gt;0")=0,"NA",TRUE,AVERAGEIF(D4:H4,"&gt;0"))</f>
        <v>12.5</v>
      </c>
      <c r="D4">
        <v>13</v>
      </c>
      <c r="E4">
        <v>12</v>
      </c>
      <c r="J4" s="83"/>
      <c r="K4" s="35"/>
    </row>
    <row r="5" spans="1:12" ht="16.5" x14ac:dyDescent="0.3">
      <c r="A5" s="13" t="s">
        <v>2</v>
      </c>
      <c r="B5">
        <f>VLOOKUP(A5,'Coef - BUT1'!B5:C24,2,0)</f>
        <v>20</v>
      </c>
      <c r="C5" cm="1">
        <f t="array" ref="C5">_xlfn.IFS(COUNTIF(D5:H5,"=ABI")&gt;0,"Moyenne bloquée",COUNTIF(D5:H5,"&gt;0")=0,"NA",TRUE,AVERAGEIF(D5:H5,"&gt;0"))</f>
        <v>19</v>
      </c>
      <c r="D5">
        <v>19</v>
      </c>
      <c r="E5">
        <v>19</v>
      </c>
      <c r="J5" s="84"/>
      <c r="K5" s="36"/>
    </row>
    <row r="6" spans="1:12" ht="16.5" x14ac:dyDescent="0.25">
      <c r="A6" s="18" t="s">
        <v>15</v>
      </c>
      <c r="B6">
        <f>VLOOKUP(A6,'Coef - BUT1'!B6:C25,2,0)</f>
        <v>5</v>
      </c>
      <c r="C6" s="68" cm="1">
        <f t="array" ref="C6">_xlfn.IFS(COUNTIF(D6:H6,"=ABI")&gt;0,"Moyenne bloquée",COUNTIF(D6:H6,"&gt;0")=0,"NA",TRUE,AVERAGEIF(D6:H6,"&gt;0"))</f>
        <v>13</v>
      </c>
      <c r="D6">
        <v>13</v>
      </c>
      <c r="J6" s="77"/>
    </row>
    <row r="7" spans="1:12" ht="16.5" x14ac:dyDescent="0.25">
      <c r="A7" s="13" t="s">
        <v>3</v>
      </c>
      <c r="B7">
        <f>VLOOKUP(A7,'Coef - BUT1'!B7:C26,2,0)</f>
        <v>30</v>
      </c>
      <c r="C7" cm="1">
        <f t="array" ref="C7">_xlfn.IFS(COUNTIF(D7:H7,"=ABI")&gt;0,"Moyenne bloquée",COUNTIF(D7:H7,"&gt;0")=0,"NA",TRUE,AVERAGEIF(D7:H7,"&gt;0"))</f>
        <v>15</v>
      </c>
      <c r="D7">
        <v>15</v>
      </c>
      <c r="J7" s="77"/>
    </row>
    <row r="8" spans="1:12" ht="16.5" x14ac:dyDescent="0.25">
      <c r="A8" s="13" t="s">
        <v>4</v>
      </c>
      <c r="B8">
        <f>VLOOKUP(A8,'Coef - BUT1'!B8:C27,2,0)</f>
        <v>10</v>
      </c>
      <c r="C8" cm="1">
        <f t="array" ref="C8">_xlfn.IFS(COUNTIF(D8:H8,"=ABI")&gt;0,"Moyenne bloquée",COUNTIF(D8:H8,"&gt;0")=0,"NA",TRUE,AVERAGEIF(D8:H8,"&gt;0"))</f>
        <v>15</v>
      </c>
      <c r="D8">
        <v>15</v>
      </c>
      <c r="J8" s="77"/>
    </row>
    <row r="9" spans="1:12" ht="16.5" x14ac:dyDescent="0.25">
      <c r="A9" s="42" t="s">
        <v>41</v>
      </c>
      <c r="B9" s="44"/>
      <c r="C9" s="68" cm="1">
        <f t="array" ref="C9">IFERROR(IF(COUNTIF(C3:C8,"=Moyenne bloquée")&gt;0,"Moyenne bloquée",SUMPRODUCT(IF(ISNUMBER(C3:C8),C3:C8,0),B3:B8)/SUMIF(C3:C8,"&gt;=0",B3:B8)-2/10*IF(J2&gt;6,J2-6,0)),"NA")</f>
        <v>15.15</v>
      </c>
      <c r="D9" s="44"/>
      <c r="E9" s="44"/>
      <c r="F9" s="44"/>
      <c r="G9" s="44"/>
      <c r="H9" s="44"/>
      <c r="J9" s="78"/>
      <c r="K9" s="37"/>
      <c r="L9" s="38"/>
    </row>
    <row r="10" spans="1:12" ht="17.25" x14ac:dyDescent="0.25">
      <c r="A10" s="14" t="s">
        <v>5</v>
      </c>
      <c r="B10">
        <f>VLOOKUP(A10,'Coef - BUT1'!B10:C29,2,0)</f>
        <v>20</v>
      </c>
      <c r="C10" cm="1">
        <f t="array" ref="C10">_xlfn.IFS(COUNTIF(D10:H10,"=ABI")&gt;0,"Moyenne bloquée",COUNTIF(D10:H10,"&gt;0")=0,"NA",TRUE,AVERAGEIF(D10:H10,"&gt;0"))</f>
        <v>13</v>
      </c>
      <c r="D10">
        <v>11</v>
      </c>
      <c r="E10">
        <v>15</v>
      </c>
      <c r="J10" s="85"/>
      <c r="K10" s="31"/>
    </row>
    <row r="11" spans="1:12" ht="17.25" x14ac:dyDescent="0.25">
      <c r="A11" s="14" t="s">
        <v>6</v>
      </c>
      <c r="B11">
        <f>VLOOKUP(A11,'Coef - BUT1'!B11:C30,2,0)</f>
        <v>15</v>
      </c>
      <c r="C11" cm="1">
        <f t="array" ref="C11">_xlfn.IFS(COUNTIF(D11:H11,"=ABI")&gt;0,"Moyenne bloquée",COUNTIF(D11:H11,"&gt;0")=0,"NA",TRUE,AVERAGEIF(D11:H11,"&gt;0"))</f>
        <v>12</v>
      </c>
      <c r="D11">
        <v>14</v>
      </c>
      <c r="E11">
        <v>10</v>
      </c>
      <c r="J11" s="86"/>
      <c r="K11" s="39"/>
    </row>
    <row r="12" spans="1:12" ht="17.25" x14ac:dyDescent="0.3">
      <c r="A12" s="14" t="s">
        <v>7</v>
      </c>
      <c r="B12">
        <f>VLOOKUP(A12,'Coef - BUT1'!B12:C31,2,0)</f>
        <v>20</v>
      </c>
      <c r="C12" s="68" cm="1">
        <f t="array" ref="C12">_xlfn.IFS(COUNTIF(D12:H12,"=ABI")&gt;0,"Moyenne bloquée",COUNTIF(D12:H12,"&gt;0")=0,"NA",TRUE,AVERAGEIF(D12:H12,"&gt;0"))</f>
        <v>19.166666666666668</v>
      </c>
      <c r="D12">
        <v>19</v>
      </c>
      <c r="E12">
        <v>19.5</v>
      </c>
      <c r="F12">
        <v>19</v>
      </c>
      <c r="J12" s="87"/>
      <c r="K12" s="40"/>
    </row>
    <row r="13" spans="1:12" ht="16.5" x14ac:dyDescent="0.25">
      <c r="A13" s="19" t="s">
        <v>15</v>
      </c>
      <c r="B13">
        <f>VLOOKUP(A13,'Coef - BUT1'!B13:C32,2,0)</f>
        <v>5</v>
      </c>
      <c r="C13" s="68" cm="1">
        <f t="array" ref="C13">_xlfn.IFS(COUNTIF(D13:H13,"=ABI")&gt;0,"Moyenne bloquée",COUNTIF(D13:H13,"&gt;0")=0,"NA",TRUE,AVERAGEIF(D13:H13,"&gt;0"))</f>
        <v>13</v>
      </c>
      <c r="D13">
        <v>13</v>
      </c>
      <c r="J13" s="77"/>
    </row>
    <row r="14" spans="1:12" ht="33" x14ac:dyDescent="0.25">
      <c r="A14" s="14" t="s">
        <v>8</v>
      </c>
      <c r="B14">
        <f>VLOOKUP(A14,'Coef - BUT1'!B14:C33,2,0)</f>
        <v>40</v>
      </c>
      <c r="C14" cm="1">
        <f t="array" ref="C14">_xlfn.IFS(COUNTIF(D14:H14,"=ABI")&gt;0,"Moyenne bloquée",COUNTIF(D14:H14,"&gt;0")=0,"NA",TRUE,AVERAGEIF(D14:H14,"&gt;0"))</f>
        <v>17</v>
      </c>
      <c r="D14">
        <v>17</v>
      </c>
      <c r="J14" s="77"/>
    </row>
    <row r="15" spans="1:12" ht="16.5" x14ac:dyDescent="0.25">
      <c r="A15" s="41" t="s">
        <v>42</v>
      </c>
      <c r="B15" s="44"/>
      <c r="C15" s="68" cm="1">
        <f t="array" ref="C15">IFERROR(IF(COUNTIF(C10:C14,"=Moyenne bloquée")&gt;0,"Moyenne bloquée",SUMPRODUCT(IF(ISNUMBER(C10:C14),C10:C14,0),B10:B14)/SUMIF(C10:C14,"&gt;=0",B10:B14)-2/10*IF(J2&gt;6,J2-6,0)),"NA")</f>
        <v>15.683333333333335</v>
      </c>
      <c r="D15" s="44"/>
      <c r="E15" s="44"/>
      <c r="F15" s="44"/>
      <c r="G15" s="44"/>
      <c r="H15" s="44"/>
      <c r="J15" s="77"/>
    </row>
    <row r="16" spans="1:12" ht="16.5" x14ac:dyDescent="0.25">
      <c r="A16" s="15" t="s">
        <v>9</v>
      </c>
      <c r="B16">
        <f>VLOOKUP(A16,'Coef - BUT1'!B16:C35,2,0)</f>
        <v>15</v>
      </c>
      <c r="C16" cm="1">
        <f t="array" ref="C16">_xlfn.IFS(COUNTIF(D16:H16,"=ABI")&gt;0,"Moyenne bloquée",COUNTIF(D16:H16,"&gt;0")=0,"NA",TRUE,AVERAGEIF(D16:H16,"&gt;0"))</f>
        <v>17</v>
      </c>
      <c r="D16">
        <v>17</v>
      </c>
      <c r="J16" s="77"/>
      <c r="K16" s="30"/>
    </row>
    <row r="17" spans="1:11" ht="17.25" x14ac:dyDescent="0.25">
      <c r="A17" s="15" t="s">
        <v>10</v>
      </c>
      <c r="B17">
        <f>VLOOKUP(A17,'Coef - BUT1'!B17:C36,2,0)</f>
        <v>15</v>
      </c>
      <c r="C17" cm="1">
        <f t="array" ref="C17">_xlfn.IFS(COUNTIF(D17:H17,"=ABI")&gt;0,"Moyenne bloquée",COUNTIF(D17:H17,"&gt;0")=0,"NA",TRUE,AVERAGEIF(D17:H17,"&gt;0"))</f>
        <v>15</v>
      </c>
      <c r="D17">
        <v>15</v>
      </c>
      <c r="J17" s="77"/>
      <c r="K17" s="31"/>
    </row>
    <row r="18" spans="1:11" ht="33" x14ac:dyDescent="0.25">
      <c r="A18" s="15" t="s">
        <v>11</v>
      </c>
      <c r="B18">
        <f>VLOOKUP(A18,'Coef - BUT1'!B18:C37,2,0)</f>
        <v>25</v>
      </c>
      <c r="C18" cm="1">
        <f t="array" ref="C18">_xlfn.IFS(COUNTIF(D18:H18,"=ABI")&gt;0,"Moyenne bloquée",COUNTIF(D18:H18,"&gt;0")=0,"NA",TRUE,AVERAGEIF(D18:H18,"&gt;0"))</f>
        <v>13</v>
      </c>
      <c r="D18">
        <v>13</v>
      </c>
      <c r="J18" s="77"/>
    </row>
    <row r="19" spans="1:11" ht="16.5" x14ac:dyDescent="0.25">
      <c r="A19" s="19" t="s">
        <v>15</v>
      </c>
      <c r="B19">
        <f>VLOOKUP(A19,'Coef - BUT1'!B19:C38,2,0)</f>
        <v>5</v>
      </c>
      <c r="C19" s="68" cm="1">
        <f t="array" ref="C19">_xlfn.IFS(COUNTIF(D19:H19,"=ABI")&gt;0,"Moyenne bloquée",COUNTIF(D19:H19,"&gt;0")=0,"NA",TRUE,AVERAGEIF(D19:H19,"&gt;0"))</f>
        <v>13</v>
      </c>
      <c r="D19">
        <v>13</v>
      </c>
      <c r="J19" s="77"/>
    </row>
    <row r="20" spans="1:11" ht="16.5" x14ac:dyDescent="0.25">
      <c r="A20" s="15" t="s">
        <v>12</v>
      </c>
      <c r="B20">
        <f>VLOOKUP(A20,'Coef - BUT1'!B20:C39,2,0)</f>
        <v>15</v>
      </c>
      <c r="C20" cm="1">
        <f t="array" ref="C20">_xlfn.IFS(COUNTIF(D20:H20,"=ABI")&gt;0,"Moyenne bloquée",COUNTIF(D20:H20,"&gt;0")=0,"NA",TRUE,AVERAGEIF(D20:H20,"&gt;0"))</f>
        <v>17</v>
      </c>
      <c r="D20">
        <v>17</v>
      </c>
      <c r="J20" s="77"/>
    </row>
    <row r="21" spans="1:11" ht="16.5" x14ac:dyDescent="0.25">
      <c r="A21" s="15" t="s">
        <v>13</v>
      </c>
      <c r="B21">
        <f>VLOOKUP(A21,'Coef - BUT1'!B21:C40,2,0)</f>
        <v>10</v>
      </c>
      <c r="C21" cm="1">
        <f t="array" ref="C21">_xlfn.IFS(COUNTIF(D21:H21,"=ABI")&gt;0,"Moyenne bloquée",COUNTIF(D21:H21,"&gt;0")=0,"NA",TRUE,AVERAGEIF(D21:H21,"&gt;0"))</f>
        <v>15</v>
      </c>
      <c r="D21">
        <v>15</v>
      </c>
      <c r="J21" s="77"/>
    </row>
    <row r="22" spans="1:11" ht="16.5" x14ac:dyDescent="0.25">
      <c r="A22" s="15" t="s">
        <v>14</v>
      </c>
      <c r="B22">
        <f>VLOOKUP(A22,'Coef - BUT1'!B22:C41,2,0)</f>
        <v>15</v>
      </c>
      <c r="C22" cm="1">
        <f t="array" ref="C22">_xlfn.IFS(COUNTIF(D22:H22,"=ABI")&gt;0,"Moyenne bloquée",COUNTIF(D22:H22,"&gt;0")=0,"NA",TRUE,AVERAGEIF(D22:H22,"&gt;0"))</f>
        <v>14</v>
      </c>
      <c r="D22">
        <v>14</v>
      </c>
      <c r="J22" s="77"/>
    </row>
    <row r="23" spans="1:11" ht="16.5" x14ac:dyDescent="0.3">
      <c r="A23" s="43" t="s">
        <v>43</v>
      </c>
      <c r="B23" s="44"/>
      <c r="C23" s="68" cm="1">
        <f t="array" ref="C23">IFERROR(IF(COUNTIF(C16:C22,"=Moyenne bloquée")&gt;0,"Moyenne bloquée",SUMPRODUCT(IF(ISNUMBER(C16:C22),C16:C22,0),B16:B22)/SUMIF(C16:C22,"&gt;=0",B16:B22)-2/10*IF(J2&gt;6,J2-6,0)),"NA")</f>
        <v>14.85</v>
      </c>
      <c r="D23" s="44"/>
      <c r="E23" s="44"/>
      <c r="F23" s="44"/>
      <c r="G23" s="44"/>
      <c r="H23" s="44"/>
      <c r="J23" s="77"/>
    </row>
    <row r="24" spans="1:11" ht="54.6" customHeight="1" x14ac:dyDescent="0.25">
      <c r="A24" s="29" t="s">
        <v>20</v>
      </c>
      <c r="B24" s="29"/>
      <c r="C24" s="29"/>
      <c r="D24" s="29"/>
      <c r="E24" s="29"/>
      <c r="F24" s="29"/>
      <c r="G24" s="29"/>
      <c r="H24" s="29"/>
      <c r="I24" s="76" t="s">
        <v>75</v>
      </c>
      <c r="J24" s="81">
        <v>0</v>
      </c>
    </row>
    <row r="25" spans="1:11" ht="16.5" x14ac:dyDescent="0.25">
      <c r="A25" s="20" t="s">
        <v>21</v>
      </c>
      <c r="B25">
        <f>VLOOKUP(A25,'Coef - BUT1'!B25:C53,2,0)</f>
        <v>10</v>
      </c>
      <c r="C25" cm="1">
        <f t="array" ref="C25">_xlfn.IFS(COUNTIF(D25:H25,"=ABI")&gt;0,"Moyenne bloquée",COUNTIF(D25:H25,"&gt;0")=0,"NA",TRUE,AVERAGEIF(D25:H25,"&gt;0"))</f>
        <v>14</v>
      </c>
      <c r="D25">
        <v>14</v>
      </c>
    </row>
    <row r="26" spans="1:11" ht="16.5" x14ac:dyDescent="0.25">
      <c r="A26" s="20" t="s">
        <v>22</v>
      </c>
      <c r="B26">
        <f>VLOOKUP(A26,'Coef - BUT1'!B26:C54,2,0)</f>
        <v>15</v>
      </c>
      <c r="C26" cm="1">
        <f t="array" ref="C26">_xlfn.IFS(COUNTIF(D26:H26,"=ABI")&gt;0,"Moyenne bloquée",COUNTIF(D26:H26,"&gt;0")=0,"NA",TRUE,AVERAGEIF(D26:H26,"&gt;0"))</f>
        <v>15</v>
      </c>
      <c r="D26">
        <v>15</v>
      </c>
    </row>
    <row r="27" spans="1:11" ht="16.5" x14ac:dyDescent="0.25">
      <c r="A27" s="20" t="s">
        <v>23</v>
      </c>
      <c r="B27">
        <f>VLOOKUP(A27,'Coef - BUT1'!B27:C55,2,0)</f>
        <v>15</v>
      </c>
      <c r="C27" cm="1">
        <f t="array" ref="C27">_xlfn.IFS(COUNTIF(D27:H27,"=ABI")&gt;0,"Moyenne bloquée",COUNTIF(D27:H27,"&gt;0")=0,"NA",TRUE,AVERAGEIF(D27:H27,"&gt;0"))</f>
        <v>10</v>
      </c>
      <c r="D27">
        <v>10</v>
      </c>
      <c r="I27" s="79"/>
    </row>
    <row r="28" spans="1:11" ht="16.5" x14ac:dyDescent="0.25">
      <c r="A28" s="20" t="s">
        <v>24</v>
      </c>
      <c r="B28">
        <f>VLOOKUP(A28,'Coef - BUT1'!B28:C56,2,0)</f>
        <v>15</v>
      </c>
      <c r="C28" cm="1">
        <f t="array" ref="C28">_xlfn.IFS(COUNTIF(D28:H28,"=ABI")&gt;0,"Moyenne bloquée",COUNTIF(D28:H28,"&gt;0")=0,"NA",TRUE,AVERAGEIF(D28:H28,"&gt;0"))</f>
        <v>10</v>
      </c>
      <c r="D28">
        <v>10</v>
      </c>
    </row>
    <row r="29" spans="1:11" ht="16.5" x14ac:dyDescent="0.25">
      <c r="A29" s="19" t="s">
        <v>25</v>
      </c>
      <c r="B29">
        <f>VLOOKUP(A29,'Coef - BUT1'!B29:C57,2,0)</f>
        <v>5</v>
      </c>
      <c r="C29" cm="1">
        <f t="array" ref="C29">_xlfn.IFS(COUNTIF(D29:H29,"=ABI")&gt;0,"Moyenne bloquée",COUNTIF(D29:H29,"&gt;0")=0,"NA",TRUE,AVERAGEIF(D29:H29,"&gt;0"))</f>
        <v>14</v>
      </c>
      <c r="D29">
        <v>14</v>
      </c>
    </row>
    <row r="30" spans="1:11" ht="16.5" x14ac:dyDescent="0.25">
      <c r="A30" s="20" t="s">
        <v>26</v>
      </c>
      <c r="B30">
        <f>VLOOKUP(A30,'Coef - BUT1'!B30:C58,2,0)</f>
        <v>10</v>
      </c>
      <c r="C30" cm="1">
        <f t="array" ref="C30">_xlfn.IFS(COUNTIF(D30:H30,"=ABI")&gt;0,"Moyenne bloquée",COUNTIF(D30:H30,"&gt;0")=0,"NA",TRUE,AVERAGEIF(D30:H30,"&gt;0"))</f>
        <v>13</v>
      </c>
      <c r="D30">
        <v>13</v>
      </c>
    </row>
    <row r="31" spans="1:11" ht="16.5" x14ac:dyDescent="0.25">
      <c r="A31" s="21" t="s">
        <v>27</v>
      </c>
      <c r="B31">
        <f>VLOOKUP(A31,'Coef - BUT1'!B31:C59,2,0)</f>
        <v>5</v>
      </c>
      <c r="C31" cm="1">
        <f t="array" ref="C31">_xlfn.IFS(COUNTIF(D31:H31,"=ABI")&gt;0,"Moyenne bloquée",COUNTIF(D31:H31,"&gt;0")=0,"NA",TRUE,AVERAGEIF(D31:H31,"&gt;0"))</f>
        <v>14</v>
      </c>
      <c r="D31">
        <v>14</v>
      </c>
    </row>
    <row r="32" spans="1:11" ht="16.5" x14ac:dyDescent="0.25">
      <c r="A32" s="21" t="s">
        <v>28</v>
      </c>
      <c r="B32">
        <f>VLOOKUP(A32,'Coef - BUT1'!B32:C60,2,0)</f>
        <v>20</v>
      </c>
      <c r="C32" cm="1">
        <f t="array" ref="C32">_xlfn.IFS(COUNTIF(D32:H32,"=ABI")&gt;0,"Moyenne bloquée",COUNTIF(D32:H32,"&gt;0")=0,"NA",TRUE,AVERAGEIF(D32:H32,"&gt;0"))</f>
        <v>16</v>
      </c>
      <c r="D32">
        <v>16</v>
      </c>
    </row>
    <row r="33" spans="1:8" ht="16.5" x14ac:dyDescent="0.25">
      <c r="A33" s="22" t="s">
        <v>29</v>
      </c>
      <c r="B33">
        <f>VLOOKUP(A33,'Coef - BUT1'!B33:C61,2,0)</f>
        <v>5</v>
      </c>
      <c r="C33" cm="1">
        <f t="array" ref="C33">_xlfn.IFS(COUNTIF(D33:H33,"=ABI")&gt;0,"Moyenne bloquée",COUNTIF(D33:H33,"&gt;0")=0,"NA",TRUE,AVERAGEIF(D33:H33,"&gt;0"))</f>
        <v>13</v>
      </c>
      <c r="D33">
        <v>13</v>
      </c>
    </row>
    <row r="34" spans="1:8" ht="16.5" x14ac:dyDescent="0.25">
      <c r="A34" s="42" t="s">
        <v>41</v>
      </c>
      <c r="B34" s="44"/>
      <c r="C34" s="68" cm="1">
        <f t="array" ref="C34">IFERROR(IF(COUNTIF(C25:C33,"=Moyenne bloquée")&gt;0,"Moyenne bloquée",SUMPRODUCT(IF(ISNUMBER(C25:C33),C25:C33,0),B25:B33)/SUMIF(C25:C33,"&gt;=0",B25:B33)-2/10*IF(J24&gt;6,J24-6,0)),"NA")</f>
        <v>13.2</v>
      </c>
      <c r="D34" s="44"/>
      <c r="E34" s="44"/>
      <c r="F34" s="44"/>
      <c r="G34" s="44"/>
      <c r="H34" s="44"/>
    </row>
    <row r="35" spans="1:8" ht="16.5" x14ac:dyDescent="0.25">
      <c r="A35" s="23" t="s">
        <v>30</v>
      </c>
      <c r="B35">
        <f>VLOOKUP(A35,'Coef - BUT1'!B35:C63,2,0)</f>
        <v>10</v>
      </c>
      <c r="C35" cm="1">
        <f t="array" ref="C35">_xlfn.IFS(COUNTIF(D35:H35,"=ABI")&gt;0,"Moyenne bloquée",COUNTIF(D35:H35,"&gt;0")=0,"NA",TRUE,AVERAGEIF(D35:H35,"&gt;0"))</f>
        <v>15</v>
      </c>
      <c r="D35">
        <v>15</v>
      </c>
    </row>
    <row r="36" spans="1:8" ht="16.5" x14ac:dyDescent="0.25">
      <c r="A36" s="23" t="s">
        <v>31</v>
      </c>
      <c r="B36">
        <f>VLOOKUP(A36,'Coef - BUT1'!B36:C64,2,0)</f>
        <v>15</v>
      </c>
      <c r="C36" cm="1">
        <f t="array" ref="C36">_xlfn.IFS(COUNTIF(D36:H36,"=ABI")&gt;0,"Moyenne bloquée",COUNTIF(D36:H36,"&gt;0")=0,"NA",TRUE,AVERAGEIF(D36:H36,"&gt;0"))</f>
        <v>14</v>
      </c>
      <c r="D36">
        <v>14</v>
      </c>
    </row>
    <row r="37" spans="1:8" ht="16.5" x14ac:dyDescent="0.25">
      <c r="A37" s="23" t="s">
        <v>32</v>
      </c>
      <c r="B37">
        <f>VLOOKUP(A37,'Coef - BUT1'!B37:C65,2,0)</f>
        <v>15</v>
      </c>
      <c r="C37" cm="1">
        <f t="array" ref="C37">_xlfn.IFS(COUNTIF(D37:H37,"=ABI")&gt;0,"Moyenne bloquée",COUNTIF(D37:H37,"&gt;0")=0,"NA",TRUE,AVERAGEIF(D37:H37,"&gt;0"))</f>
        <v>13</v>
      </c>
      <c r="D37">
        <v>13</v>
      </c>
    </row>
    <row r="38" spans="1:8" ht="16.5" x14ac:dyDescent="0.25">
      <c r="A38" s="23" t="s">
        <v>33</v>
      </c>
      <c r="B38">
        <f>VLOOKUP(A38,'Coef - BUT1'!B38:C66,2,0)</f>
        <v>15</v>
      </c>
      <c r="C38" cm="1">
        <f t="array" ref="C38">_xlfn.IFS(COUNTIF(D38:H38,"=ABI")&gt;0,"Moyenne bloquée",COUNTIF(D38:H38,"&gt;0")=0,"NA",TRUE,AVERAGEIF(D38:H38,"&gt;0"))</f>
        <v>14</v>
      </c>
      <c r="D38">
        <v>14</v>
      </c>
    </row>
    <row r="39" spans="1:8" ht="16.5" x14ac:dyDescent="0.25">
      <c r="A39" s="19" t="s">
        <v>25</v>
      </c>
      <c r="B39">
        <f>VLOOKUP(A39,'Coef - BUT1'!B39:C67,2,0)</f>
        <v>5</v>
      </c>
      <c r="C39" cm="1">
        <f t="array" ref="C39">_xlfn.IFS(COUNTIF(D39:H39,"=ABI")&gt;0,"Moyenne bloquée",COUNTIF(D39:H39,"&gt;0")=0,"NA",TRUE,AVERAGEIF(D39:H39,"&gt;0"))</f>
        <v>13</v>
      </c>
      <c r="D39">
        <v>13</v>
      </c>
    </row>
    <row r="40" spans="1:8" ht="16.5" x14ac:dyDescent="0.25">
      <c r="A40" s="23" t="s">
        <v>34</v>
      </c>
      <c r="B40">
        <f>VLOOKUP(A40,'Coef - BUT1'!B40:C68,2,0)</f>
        <v>10</v>
      </c>
      <c r="C40" cm="1">
        <f t="array" ref="C40">_xlfn.IFS(COUNTIF(D40:H40,"=ABI")&gt;0,"Moyenne bloquée",COUNTIF(D40:H40,"&gt;0")=0,"NA",TRUE,AVERAGEIF(D40:H40,"&gt;0"))</f>
        <v>14</v>
      </c>
      <c r="D40">
        <v>14</v>
      </c>
    </row>
    <row r="41" spans="1:8" ht="16.5" x14ac:dyDescent="0.25">
      <c r="A41" s="23" t="s">
        <v>35</v>
      </c>
      <c r="B41">
        <f>VLOOKUP(A41,'Coef - BUT1'!B41:C69,2,0)</f>
        <v>10</v>
      </c>
      <c r="C41" cm="1">
        <f t="array" ref="C41">_xlfn.IFS(COUNTIF(D41:H41,"=ABI")&gt;0,"Moyenne bloquée",COUNTIF(D41:H41,"&gt;0")=0,"NA",TRUE,AVERAGEIF(D41:H41,"&gt;0"))</f>
        <v>15</v>
      </c>
      <c r="D41">
        <v>15</v>
      </c>
    </row>
    <row r="42" spans="1:8" ht="16.5" x14ac:dyDescent="0.25">
      <c r="A42" s="24" t="s">
        <v>27</v>
      </c>
      <c r="B42">
        <f>VLOOKUP(A42,'Coef - BUT1'!B42:C70,2,0)</f>
        <v>5</v>
      </c>
      <c r="C42" cm="1">
        <f t="array" ref="C42">_xlfn.IFS(COUNTIF(D42:H42,"=ABI")&gt;0,"Moyenne bloquée",COUNTIF(D42:H42,"&gt;0")=0,"NA",TRUE,AVERAGEIF(D42:H42,"&gt;0"))</f>
        <v>13</v>
      </c>
      <c r="D42">
        <v>13</v>
      </c>
    </row>
    <row r="43" spans="1:8" ht="16.5" x14ac:dyDescent="0.25">
      <c r="A43" s="24" t="s">
        <v>28</v>
      </c>
      <c r="B43">
        <f>VLOOKUP(A43,'Coef - BUT1'!B43:C71,2,0)</f>
        <v>10</v>
      </c>
      <c r="C43" cm="1">
        <f t="array" ref="C43">_xlfn.IFS(COUNTIF(D43:H43,"=ABI")&gt;0,"Moyenne bloquée",COUNTIF(D43:H43,"&gt;0")=0,"NA",TRUE,AVERAGEIF(D43:H43,"&gt;0"))</f>
        <v>16</v>
      </c>
      <c r="D43">
        <v>16</v>
      </c>
    </row>
    <row r="44" spans="1:8" ht="16.5" x14ac:dyDescent="0.25">
      <c r="A44" s="25" t="s">
        <v>29</v>
      </c>
      <c r="B44">
        <f>VLOOKUP(A44,'Coef - BUT1'!B44:C72,2,0)</f>
        <v>5</v>
      </c>
      <c r="C44" cm="1">
        <f t="array" ref="C44">_xlfn.IFS(COUNTIF(D44:H44,"=ABI")&gt;0,"Moyenne bloquée",COUNTIF(D44:H44,"&gt;0")=0,"NA",TRUE,AVERAGEIF(D44:H44,"&gt;0"))</f>
        <v>13</v>
      </c>
      <c r="D44">
        <v>13</v>
      </c>
    </row>
    <row r="45" spans="1:8" ht="16.5" x14ac:dyDescent="0.25">
      <c r="A45" s="41" t="s">
        <v>42</v>
      </c>
      <c r="B45" s="44"/>
      <c r="C45" s="68" cm="1">
        <f t="array" ref="C45">IFERROR(IF(COUNTIF(C35:C44,"=Moyenne bloquée")&gt;0,"Moyenne bloquée",SUMPRODUCT(IF(ISNUMBER(C35:C44),C35:C44,0),B35:B44)/SUMIF(C35:C44,"&gt;=0",B35:B44)-2/10*IF(J24&gt;6,J24-6,0)),"NA")</f>
        <v>14.1</v>
      </c>
      <c r="D45" s="44"/>
      <c r="E45" s="44"/>
      <c r="F45" s="44"/>
      <c r="G45" s="44"/>
      <c r="H45" s="44"/>
    </row>
    <row r="46" spans="1:8" ht="16.5" x14ac:dyDescent="0.25">
      <c r="A46" s="15" t="s">
        <v>36</v>
      </c>
      <c r="B46">
        <f>VLOOKUP(A46,'Coef - BUT1'!B46:C74,2,0)</f>
        <v>15</v>
      </c>
      <c r="C46" cm="1">
        <f t="array" ref="C46">_xlfn.IFS(COUNTIF(D46:H46,"=ABI")&gt;0,"Moyenne bloquée",COUNTIF(D46:H46,"&gt;0")=0,"NA",TRUE,AVERAGEIF(D46:H46,"&gt;0"))</f>
        <v>18</v>
      </c>
      <c r="D46">
        <v>18</v>
      </c>
    </row>
    <row r="47" spans="1:8" ht="16.5" x14ac:dyDescent="0.25">
      <c r="A47" s="15" t="s">
        <v>37</v>
      </c>
      <c r="B47">
        <f>VLOOKUP(A47,'Coef - BUT1'!B47:C75,2,0)</f>
        <v>15</v>
      </c>
      <c r="C47" cm="1">
        <f t="array" ref="C47">_xlfn.IFS(COUNTIF(D47:H47,"=ABI")&gt;0,"Moyenne bloquée",COUNTIF(D47:H47,"&gt;0")=0,"NA",TRUE,AVERAGEIF(D47:H47,"&gt;0"))</f>
        <v>17</v>
      </c>
      <c r="D47">
        <v>17</v>
      </c>
    </row>
    <row r="48" spans="1:8" ht="16.5" x14ac:dyDescent="0.25">
      <c r="A48" s="15" t="s">
        <v>38</v>
      </c>
      <c r="B48">
        <f>VLOOKUP(A48,'Coef - BUT1'!B48:C76,2,0)</f>
        <v>25</v>
      </c>
      <c r="C48" cm="1">
        <f t="array" ref="C48">_xlfn.IFS(COUNTIF(D48:H48,"=ABI")&gt;0,"Moyenne bloquée",COUNTIF(D48:H48,"&gt;0")=0,"NA",TRUE,AVERAGEIF(D48:H48,"&gt;0"))</f>
        <v>14</v>
      </c>
      <c r="D48">
        <v>14</v>
      </c>
    </row>
    <row r="49" spans="1:8" ht="16.5" x14ac:dyDescent="0.25">
      <c r="A49" s="19" t="s">
        <v>25</v>
      </c>
      <c r="B49">
        <f>VLOOKUP(A49,'Coef - BUT1'!B49:C77,2,0)</f>
        <v>5</v>
      </c>
      <c r="C49" cm="1">
        <f t="array" ref="C49">_xlfn.IFS(COUNTIF(D49:H49,"=ABI")&gt;0,"Moyenne bloquée",COUNTIF(D49:H49,"&gt;0")=0,"NA",TRUE,AVERAGEIF(D49:H49,"&gt;0"))</f>
        <v>13</v>
      </c>
      <c r="D49">
        <v>13</v>
      </c>
    </row>
    <row r="50" spans="1:8" ht="16.5" x14ac:dyDescent="0.25">
      <c r="A50" s="15" t="s">
        <v>27</v>
      </c>
      <c r="B50">
        <f>VLOOKUP(A50,'Coef - BUT1'!B50:C78,2,0)</f>
        <v>5</v>
      </c>
      <c r="C50" cm="1">
        <f t="array" ref="C50">_xlfn.IFS(COUNTIF(D50:H50,"=ABI")&gt;0,"Moyenne bloquée",COUNTIF(D50:H50,"&gt;0")=0,"NA",TRUE,AVERAGEIF(D50:H50,"&gt;0"))</f>
        <v>14</v>
      </c>
      <c r="D50">
        <v>14</v>
      </c>
    </row>
    <row r="51" spans="1:8" ht="16.5" x14ac:dyDescent="0.25">
      <c r="A51" s="15" t="s">
        <v>39</v>
      </c>
      <c r="B51">
        <f>VLOOKUP(A51,'Coef - BUT1'!B51:C79,2,0)</f>
        <v>10</v>
      </c>
      <c r="C51" cm="1">
        <f t="array" ref="C51">_xlfn.IFS(COUNTIF(D51:H51,"=ABI")&gt;0,"Moyenne bloquée",COUNTIF(D51:H51,"&gt;0")=0,"NA",TRUE,AVERAGEIF(D51:H51,"&gt;0"))</f>
        <v>15</v>
      </c>
      <c r="D51">
        <v>15</v>
      </c>
    </row>
    <row r="52" spans="1:8" ht="16.5" x14ac:dyDescent="0.25">
      <c r="A52" s="17" t="s">
        <v>28</v>
      </c>
      <c r="B52">
        <f>VLOOKUP(A52,'Coef - BUT1'!B52:C80,2,0)</f>
        <v>20</v>
      </c>
      <c r="C52" cm="1">
        <f t="array" ref="C52">_xlfn.IFS(COUNTIF(D52:H52,"=ABI")&gt;0,"Moyenne bloquée",COUNTIF(D52:H52,"&gt;0")=0,"NA",TRUE,AVERAGEIF(D52:H52,"&gt;0"))</f>
        <v>16</v>
      </c>
      <c r="D52">
        <v>16</v>
      </c>
    </row>
    <row r="53" spans="1:8" ht="16.5" x14ac:dyDescent="0.25">
      <c r="A53" s="16" t="s">
        <v>29</v>
      </c>
      <c r="B53">
        <f>VLOOKUP(A53,'Coef - BUT1'!B53:C81,2,0)</f>
        <v>5</v>
      </c>
      <c r="C53" cm="1">
        <f t="array" ref="C53">_xlfn.IFS(COUNTIF(D53:H53,"=ABI")&gt;0,"Moyenne bloquée",COUNTIF(D53:H53,"&gt;0")=0,"NA",TRUE,AVERAGEIF(D53:H53,"&gt;0"))</f>
        <v>13</v>
      </c>
      <c r="D53">
        <v>13</v>
      </c>
    </row>
    <row r="54" spans="1:8" ht="16.5" x14ac:dyDescent="0.3">
      <c r="A54" s="43" t="s">
        <v>43</v>
      </c>
      <c r="B54" s="44"/>
      <c r="C54" s="68" cm="1">
        <f t="array" ref="C54">IFERROR(IF(COUNTIF(C46:C53,"=Moyenne bloquée")&gt;0,"Moyenne bloquée",SUMPRODUCT(IF(ISNUMBER(C46:C53),C46:C53,0),B46:B53)/SUMIF(C46:C53,"&gt;=0",B46:B53)-2/10*IF(J24&gt;6,J24-6,0)),"NA")</f>
        <v>15.45</v>
      </c>
      <c r="D54" s="44"/>
      <c r="E54" s="44"/>
      <c r="F54" s="44"/>
      <c r="G54" s="44"/>
      <c r="H54" s="44"/>
    </row>
  </sheetData>
  <mergeCells count="2">
    <mergeCell ref="J3:J5"/>
    <mergeCell ref="J10:J12"/>
  </mergeCells>
  <phoneticPr fontId="5" type="noConversion"/>
  <conditionalFormatting sqref="C54 C45 C34 C23 C15 C9">
    <cfRule type="iconSet" priority="30">
      <iconSet>
        <cfvo type="percent" val="0"/>
        <cfvo type="num" val="8" gte="0"/>
        <cfvo type="num" val="10" gte="0"/>
      </iconSet>
    </cfRule>
  </conditionalFormatting>
  <conditionalFormatting sqref="C9 C15 C23 C34 C45 C54">
    <cfRule type="cellIs" dxfId="11" priority="29" operator="greaterThan">
      <formula>10</formula>
    </cfRule>
  </conditionalFormatting>
  <conditionalFormatting sqref="C9 C15 C23 C34 C45 C54">
    <cfRule type="cellIs" dxfId="10" priority="27" operator="lessThan">
      <formula>8</formula>
    </cfRule>
  </conditionalFormatting>
  <conditionalFormatting sqref="F56 C9 C15 C23 C34 C45 C54">
    <cfRule type="cellIs" dxfId="9" priority="26" operator="between">
      <formula>8</formula>
      <formula>10</formula>
    </cfRule>
  </conditionalFormatting>
  <conditionalFormatting sqref="C15">
    <cfRule type="containsText" dxfId="8" priority="25" operator="containsText" text="Moyenne bloquée">
      <formula>NOT(ISERROR(SEARCH("Moyenne bloquée",C15)))</formula>
    </cfRule>
  </conditionalFormatting>
  <conditionalFormatting sqref="C54">
    <cfRule type="containsText" dxfId="7" priority="3" operator="containsText" text="Moyenne bloquée">
      <formula>NOT(ISERROR(SEARCH("Moyenne bloquée",C54)))</formula>
    </cfRule>
  </conditionalFormatting>
  <conditionalFormatting sqref="C9 C23 C34 C45">
    <cfRule type="containsText" dxfId="6" priority="2" operator="containsText" text="Moyenne bloquée">
      <formula>NOT(ISERROR(SEARCH("Moyenne bloquée",C9)))</formula>
    </cfRule>
  </conditionalFormatting>
  <conditionalFormatting sqref="J2">
    <cfRule type="cellIs" dxfId="5" priority="1" operator="greaterThan">
      <formula>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E349A-83A1-4A87-A7C3-44EC2BBADBEB}">
  <sheetPr codeName="Feuil8"/>
  <dimension ref="L10:T377"/>
  <sheetViews>
    <sheetView showGridLines="0" topLeftCell="A49" zoomScale="25" zoomScaleNormal="25" workbookViewId="0">
      <selection activeCell="BJ46" sqref="BJ46"/>
    </sheetView>
  </sheetViews>
  <sheetFormatPr baseColWidth="10" defaultColWidth="11.5703125" defaultRowHeight="15" x14ac:dyDescent="0.25"/>
  <cols>
    <col min="1" max="8" width="11.5703125" style="26"/>
    <col min="9" max="9" width="20.42578125" style="26" customWidth="1"/>
    <col min="10" max="10" width="18.7109375" style="26" bestFit="1" customWidth="1"/>
    <col min="11" max="11" width="11.5703125" style="26"/>
    <col min="12" max="12" width="17.28515625" style="26" customWidth="1"/>
    <col min="13" max="14" width="11.5703125" style="26"/>
    <col min="15" max="15" width="11.5703125" style="26" customWidth="1"/>
    <col min="16" max="16384" width="11.5703125" style="26"/>
  </cols>
  <sheetData>
    <row r="10" spans="12:13" ht="26.25" x14ac:dyDescent="0.4">
      <c r="L10" s="32"/>
      <c r="M10" s="32"/>
    </row>
    <row r="50" spans="18:20" x14ac:dyDescent="0.25">
      <c r="S50" s="26" t="s">
        <v>60</v>
      </c>
      <c r="T50" s="26" t="s">
        <v>61</v>
      </c>
    </row>
    <row r="51" spans="18:20" x14ac:dyDescent="0.25">
      <c r="R51" s="26" t="s">
        <v>57</v>
      </c>
    </row>
    <row r="52" spans="18:20" x14ac:dyDescent="0.25">
      <c r="R52" s="26" t="s">
        <v>58</v>
      </c>
    </row>
    <row r="53" spans="18:20" x14ac:dyDescent="0.25">
      <c r="R53" s="26" t="s">
        <v>59</v>
      </c>
    </row>
    <row r="373" spans="15:15" ht="46.5" x14ac:dyDescent="0.7">
      <c r="O373" s="60"/>
    </row>
    <row r="375" spans="15:15" ht="46.5" x14ac:dyDescent="0.7">
      <c r="O375" s="60"/>
    </row>
    <row r="377" spans="15:15" ht="46.5" x14ac:dyDescent="0.7">
      <c r="O377" s="60"/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20" r:id="rId3" name="btnRetourAccueil">
          <controlPr defaultSize="0" autoLine="0" r:id="rId4">
            <anchor moveWithCells="1">
              <from>
                <xdr:col>1</xdr:col>
                <xdr:colOff>200025</xdr:colOff>
                <xdr:row>2</xdr:row>
                <xdr:rowOff>66675</xdr:rowOff>
              </from>
              <to>
                <xdr:col>4</xdr:col>
                <xdr:colOff>457200</xdr:colOff>
                <xdr:row>7</xdr:row>
                <xdr:rowOff>133350</xdr:rowOff>
              </to>
            </anchor>
          </controlPr>
        </control>
      </mc:Choice>
      <mc:Fallback>
        <control shapeId="9220" r:id="rId3" name="btnRetourAccueil"/>
      </mc:Fallback>
    </mc:AlternateContent>
    <mc:AlternateContent xmlns:mc="http://schemas.openxmlformats.org/markup-compatibility/2006">
      <mc:Choice Requires="x14">
        <control shapeId="9219" r:id="rId5" name="btnSemestre2">
          <controlPr defaultSize="0" autoLine="0" r:id="rId6">
            <anchor moveWithCells="1">
              <from>
                <xdr:col>37</xdr:col>
                <xdr:colOff>628650</xdr:colOff>
                <xdr:row>3</xdr:row>
                <xdr:rowOff>19050</xdr:rowOff>
              </from>
              <to>
                <xdr:col>44</xdr:col>
                <xdr:colOff>209550</xdr:colOff>
                <xdr:row>12</xdr:row>
                <xdr:rowOff>38100</xdr:rowOff>
              </to>
            </anchor>
          </controlPr>
        </control>
      </mc:Choice>
      <mc:Fallback>
        <control shapeId="9219" r:id="rId5" name="btnSemestre2"/>
      </mc:Fallback>
    </mc:AlternateContent>
    <mc:AlternateContent xmlns:mc="http://schemas.openxmlformats.org/markup-compatibility/2006">
      <mc:Choice Requires="x14">
        <control shapeId="9217" r:id="rId7" name="bntPointSurLannee">
          <controlPr defaultSize="0" autoLine="0" r:id="rId8">
            <anchor moveWithCells="1">
              <from>
                <xdr:col>10</xdr:col>
                <xdr:colOff>247650</xdr:colOff>
                <xdr:row>3</xdr:row>
                <xdr:rowOff>85725</xdr:rowOff>
              </from>
              <to>
                <xdr:col>16</xdr:col>
                <xdr:colOff>171450</xdr:colOff>
                <xdr:row>12</xdr:row>
                <xdr:rowOff>85725</xdr:rowOff>
              </to>
            </anchor>
          </controlPr>
        </control>
      </mc:Choice>
      <mc:Fallback>
        <control shapeId="9217" r:id="rId7" name="bntPointSurLanne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2944F-39D2-4498-AD3F-23E61E8A8DCA}">
  <sheetPr codeName="Feuil9"/>
  <dimension ref="D6:W39"/>
  <sheetViews>
    <sheetView showGridLines="0" zoomScale="87" workbookViewId="0">
      <selection activeCell="J4" sqref="J4"/>
    </sheetView>
  </sheetViews>
  <sheetFormatPr baseColWidth="10" defaultColWidth="11.5703125" defaultRowHeight="15" x14ac:dyDescent="0.25"/>
  <cols>
    <col min="1" max="1" width="0.7109375" style="61" customWidth="1"/>
    <col min="2" max="2" width="2" style="61" customWidth="1"/>
    <col min="3" max="3" width="0.42578125" style="61" customWidth="1"/>
    <col min="4" max="4" width="1.28515625" style="61" hidden="1" customWidth="1"/>
    <col min="5" max="5" width="0.140625" style="61" customWidth="1"/>
    <col min="6" max="6" width="68.42578125" style="61" customWidth="1"/>
    <col min="7" max="7" width="19.85546875" style="61" customWidth="1"/>
    <col min="8" max="8" width="13.7109375" style="61" customWidth="1"/>
    <col min="9" max="9" width="2.5703125" style="61" customWidth="1"/>
    <col min="10" max="10" width="4.28515625" style="61" customWidth="1"/>
    <col min="11" max="11" width="65.7109375" style="61" customWidth="1"/>
    <col min="12" max="12" width="31" style="61" bestFit="1" customWidth="1"/>
    <col min="13" max="13" width="23" style="61" customWidth="1"/>
    <col min="14" max="14" width="18.28515625" style="61" bestFit="1" customWidth="1"/>
    <col min="15" max="16384" width="11.5703125" style="61"/>
  </cols>
  <sheetData>
    <row r="6" spans="6:23" x14ac:dyDescent="0.25">
      <c r="L6" s="64"/>
      <c r="M6" s="64"/>
      <c r="T6" s="61" t="s">
        <v>63</v>
      </c>
      <c r="U6" s="69">
        <f>L8</f>
        <v>15.15</v>
      </c>
      <c r="V6" s="69">
        <f>0.6*G15</f>
        <v>9.15</v>
      </c>
      <c r="W6" s="61">
        <f>0.4*G8</f>
        <v>6</v>
      </c>
    </row>
    <row r="7" spans="6:23" x14ac:dyDescent="0.25">
      <c r="G7" s="66" t="s">
        <v>16</v>
      </c>
      <c r="H7" s="66" t="s">
        <v>20</v>
      </c>
      <c r="L7" s="66" t="s">
        <v>53</v>
      </c>
      <c r="M7" s="66" t="s">
        <v>20</v>
      </c>
      <c r="S7" s="62" t="s">
        <v>66</v>
      </c>
      <c r="T7" s="61" t="s">
        <v>64</v>
      </c>
      <c r="U7" s="69">
        <f>L9</f>
        <v>15.683333333333335</v>
      </c>
      <c r="V7" s="69">
        <f>0.6*G16</f>
        <v>8.8833333333333329</v>
      </c>
      <c r="W7" s="61">
        <f>0.4*G9</f>
        <v>6.8000000000000007</v>
      </c>
    </row>
    <row r="8" spans="6:23" x14ac:dyDescent="0.25">
      <c r="F8" s="65" t="s">
        <v>54</v>
      </c>
      <c r="G8" s="71">
        <f>SUMPRODUCT(Note!B7:B8,Note!C7:C8)/SUM(Note!B7:B8)</f>
        <v>15</v>
      </c>
      <c r="H8" s="71">
        <f>SUMPRODUCT(Note!B30:B33,Note!C30:C33)/40</f>
        <v>14.625</v>
      </c>
      <c r="K8" s="65" t="s">
        <v>41</v>
      </c>
      <c r="L8" s="71">
        <f>Note!C9</f>
        <v>15.15</v>
      </c>
      <c r="M8" s="71">
        <f>Note!C34</f>
        <v>13.2</v>
      </c>
      <c r="T8" s="61" t="s">
        <v>65</v>
      </c>
      <c r="U8" s="69">
        <f>L10</f>
        <v>14.85</v>
      </c>
      <c r="V8" s="69">
        <f>0.6*G17</f>
        <v>8.6999999999999993</v>
      </c>
      <c r="W8" s="61">
        <f>0.4*G10</f>
        <v>6.15</v>
      </c>
    </row>
    <row r="9" spans="6:23" x14ac:dyDescent="0.25">
      <c r="F9" s="65" t="s">
        <v>55</v>
      </c>
      <c r="G9" s="73">
        <f>Note!C14</f>
        <v>17</v>
      </c>
      <c r="H9" s="71">
        <f>SUMPRODUCT(Note!B40:B44,Note!C40:C44)/40</f>
        <v>14.5</v>
      </c>
      <c r="K9" s="65" t="s">
        <v>42</v>
      </c>
      <c r="L9" s="71">
        <f>Note!C15</f>
        <v>15.683333333333335</v>
      </c>
      <c r="M9" s="71">
        <f>Note!C45</f>
        <v>14.1</v>
      </c>
    </row>
    <row r="10" spans="6:23" x14ac:dyDescent="0.25">
      <c r="F10" s="65" t="s">
        <v>56</v>
      </c>
      <c r="G10" s="71">
        <f>SUMPRODUCT(Note!B20:B22,Note!C20:C22)/SUM(Note!B20:B22)</f>
        <v>15.375</v>
      </c>
      <c r="H10" s="71">
        <f>SUMPRODUCT(Note!B50:B53,Note!C50:C53)/40</f>
        <v>15.125</v>
      </c>
      <c r="K10" s="65" t="s">
        <v>43</v>
      </c>
      <c r="L10" s="71">
        <f>Note!C23</f>
        <v>14.85</v>
      </c>
      <c r="M10" s="71">
        <f>Note!C54</f>
        <v>15.45</v>
      </c>
    </row>
    <row r="11" spans="6:23" x14ac:dyDescent="0.25">
      <c r="T11" s="61" t="s">
        <v>63</v>
      </c>
      <c r="U11" s="61">
        <f>M8</f>
        <v>13.2</v>
      </c>
      <c r="V11" s="61">
        <f>0.6*H15</f>
        <v>7.35</v>
      </c>
      <c r="W11" s="61">
        <f>0.4*H8</f>
        <v>5.8500000000000005</v>
      </c>
    </row>
    <row r="12" spans="6:23" x14ac:dyDescent="0.25">
      <c r="T12" s="61" t="s">
        <v>64</v>
      </c>
      <c r="U12" s="61">
        <f>M9</f>
        <v>14.1</v>
      </c>
      <c r="V12" s="61">
        <f>0.6*H16</f>
        <v>8.3000000000000007</v>
      </c>
      <c r="W12" s="61">
        <f>0.4*H9</f>
        <v>5.8000000000000007</v>
      </c>
    </row>
    <row r="13" spans="6:23" x14ac:dyDescent="0.25">
      <c r="T13" s="61" t="s">
        <v>65</v>
      </c>
      <c r="U13" s="61">
        <f>M10</f>
        <v>15.45</v>
      </c>
      <c r="V13" s="61">
        <f>0.6*H17</f>
        <v>9.3999999999999986</v>
      </c>
      <c r="W13" s="61">
        <f>0.4*H10</f>
        <v>6.0500000000000007</v>
      </c>
    </row>
    <row r="14" spans="6:23" x14ac:dyDescent="0.25">
      <c r="G14" s="65" t="s">
        <v>16</v>
      </c>
      <c r="H14" s="66" t="s">
        <v>20</v>
      </c>
      <c r="L14" s="65" t="s">
        <v>68</v>
      </c>
      <c r="M14" s="66" t="s">
        <v>62</v>
      </c>
    </row>
    <row r="15" spans="6:23" x14ac:dyDescent="0.25">
      <c r="F15" s="65" t="s">
        <v>70</v>
      </c>
      <c r="G15" s="71">
        <f>SUMPRODUCT(Note!B3:B6,Note!C3:C6)/60</f>
        <v>15.25</v>
      </c>
      <c r="H15" s="71">
        <f>SUMPRODUCT(Note!B25:B29,Note!C25:C29)/60</f>
        <v>12.25</v>
      </c>
      <c r="K15" s="65" t="s">
        <v>41</v>
      </c>
      <c r="L15" s="71">
        <f>IFERROR(AVERAGE(Note!C9,Note!C34),"NA")</f>
        <v>14.175000000000001</v>
      </c>
      <c r="M15" s="70" t="str">
        <f>IFERROR(IF(AVERAGE(Note!C9,Note!C34)&gt;=10,"Atteint","Non atteint"),"")</f>
        <v>Atteint</v>
      </c>
    </row>
    <row r="16" spans="6:23" x14ac:dyDescent="0.25">
      <c r="F16" s="65" t="s">
        <v>71</v>
      </c>
      <c r="G16" s="71">
        <f>SUMPRODUCT(Note!B10:B13,Note!C10:C13)/60</f>
        <v>14.805555555555555</v>
      </c>
      <c r="H16" s="71">
        <f>SUMPRODUCT(Note!B35:B39,Note!C35:C39)/60</f>
        <v>13.833333333333334</v>
      </c>
      <c r="K16" s="65" t="s">
        <v>42</v>
      </c>
      <c r="L16" s="71">
        <f>IFERROR(AVERAGE(Note!C15,Note!C45),"NA")</f>
        <v>14.891666666666667</v>
      </c>
      <c r="M16" s="70" t="str">
        <f>IFERROR(IF(AVERAGE(Note!C15,Note!C45)&gt;=10,"Atteint","Non atteint"),"")</f>
        <v>Atteint</v>
      </c>
    </row>
    <row r="17" spans="6:14" x14ac:dyDescent="0.25">
      <c r="F17" s="65" t="s">
        <v>72</v>
      </c>
      <c r="G17" s="71">
        <f>SUMPRODUCT(Note!B16:B19,Note!C16:C19)/60</f>
        <v>14.5</v>
      </c>
      <c r="H17" s="71">
        <f>SUMPRODUCT(Note!B46:B49,Note!C46:C49)/60</f>
        <v>15.666666666666666</v>
      </c>
      <c r="K17" s="65" t="s">
        <v>43</v>
      </c>
      <c r="L17" s="71">
        <f>IFERROR(AVERAGE(Note!C54,Note!C23),"NA")</f>
        <v>15.149999999999999</v>
      </c>
      <c r="M17" s="70" t="str">
        <f>IFERROR(IF(AVERAGE(Note!C54,Note!C23)&gt;=10,"Atteint","Non atteint"),"")</f>
        <v>Atteint</v>
      </c>
    </row>
    <row r="18" spans="6:14" ht="17.25" x14ac:dyDescent="0.3">
      <c r="K18" s="74" t="s">
        <v>69</v>
      </c>
      <c r="L18" s="75">
        <f>IFERROR(AVERAGE(L15:L17),"")</f>
        <v>14.738888888888889</v>
      </c>
    </row>
    <row r="21" spans="6:14" x14ac:dyDescent="0.25">
      <c r="M21" s="88"/>
      <c r="N21" s="88"/>
    </row>
    <row r="24" spans="6:14" ht="25.5" x14ac:dyDescent="0.5">
      <c r="G24" s="67" t="s">
        <v>67</v>
      </c>
      <c r="H24" s="89" t="str">
        <f>IF(AND(COUNTIF(L15:L17,"&gt;=10")&gt;=2,COUNTIF(L15:L17,"&lt;8")=0),"Vous passez en deuxième année","Vous n'êtes pas admis en deuxième année")</f>
        <v>Vous passez en deuxième année</v>
      </c>
      <c r="I24" s="89"/>
      <c r="J24" s="89"/>
      <c r="K24" s="89"/>
    </row>
    <row r="35" spans="10:22" x14ac:dyDescent="0.25">
      <c r="J35" s="62"/>
    </row>
    <row r="36" spans="10:22" x14ac:dyDescent="0.25">
      <c r="J36" s="62"/>
    </row>
    <row r="38" spans="10:22" x14ac:dyDescent="0.25">
      <c r="M38" s="88"/>
      <c r="N38" s="88"/>
      <c r="V38" s="63"/>
    </row>
    <row r="39" spans="10:22" x14ac:dyDescent="0.25">
      <c r="V39" s="63"/>
    </row>
  </sheetData>
  <sheetProtection sheet="1" objects="1" scenarios="1"/>
  <mergeCells count="3">
    <mergeCell ref="M38:N38"/>
    <mergeCell ref="H24:K24"/>
    <mergeCell ref="M21:N21"/>
  </mergeCells>
  <phoneticPr fontId="5" type="noConversion"/>
  <conditionalFormatting sqref="H24:K24">
    <cfRule type="containsText" dxfId="4" priority="4" operator="containsText" text="Vous n'êtes pas admis en deuxième année">
      <formula>NOT(ISERROR(SEARCH("Vous n'êtes pas admis en deuxième année",H24)))</formula>
    </cfRule>
    <cfRule type="containsText" dxfId="3" priority="5" operator="containsText" text="Vous passez en deuxième année">
      <formula>NOT(ISERROR(SEARCH("Vous passez en deuxième année",H24)))</formula>
    </cfRule>
  </conditionalFormatting>
  <conditionalFormatting sqref="L18">
    <cfRule type="cellIs" dxfId="2" priority="1" operator="between">
      <formula>9</formula>
      <formula>12</formula>
    </cfRule>
    <cfRule type="cellIs" dxfId="1" priority="2" operator="lessThan">
      <formula>10</formula>
    </cfRule>
    <cfRule type="cellIs" dxfId="0" priority="3" operator="greaterThan">
      <formula>12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00BA8-EB75-41F4-9CC4-DF235D4D00BF}">
  <sheetPr codeName="Feuil1">
    <pageSetUpPr fitToPage="1"/>
  </sheetPr>
  <dimension ref="A2:C53"/>
  <sheetViews>
    <sheetView zoomScale="93" zoomScaleNormal="93" workbookViewId="0">
      <selection activeCell="B13" sqref="B13"/>
    </sheetView>
  </sheetViews>
  <sheetFormatPr baseColWidth="10" defaultColWidth="47.42578125" defaultRowHeight="15" x14ac:dyDescent="0.25"/>
  <cols>
    <col min="1" max="1" width="41.42578125" style="2" bestFit="1" customWidth="1"/>
    <col min="2" max="2" width="64.42578125" bestFit="1" customWidth="1"/>
    <col min="3" max="3" width="8.42578125" style="1" customWidth="1"/>
    <col min="4" max="4" width="10.140625" customWidth="1"/>
    <col min="5" max="5" width="26.7109375" customWidth="1"/>
    <col min="6" max="6" width="25.7109375" customWidth="1"/>
    <col min="7" max="7" width="25.28515625" customWidth="1"/>
  </cols>
  <sheetData>
    <row r="2" spans="1:3" ht="18.75" x14ac:dyDescent="0.3">
      <c r="A2" s="96" t="s">
        <v>16</v>
      </c>
      <c r="B2" s="96"/>
      <c r="C2" s="96"/>
    </row>
    <row r="3" spans="1:3" ht="15" customHeight="1" x14ac:dyDescent="0.25">
      <c r="A3" s="97" t="s">
        <v>17</v>
      </c>
      <c r="B3" s="58" t="s">
        <v>0</v>
      </c>
      <c r="C3" s="59">
        <v>15</v>
      </c>
    </row>
    <row r="4" spans="1:3" x14ac:dyDescent="0.25">
      <c r="A4" s="98"/>
      <c r="B4" s="58" t="s">
        <v>1</v>
      </c>
      <c r="C4" s="59">
        <v>20</v>
      </c>
    </row>
    <row r="5" spans="1:3" x14ac:dyDescent="0.25">
      <c r="A5" s="98"/>
      <c r="B5" s="58" t="s">
        <v>2</v>
      </c>
      <c r="C5" s="59">
        <v>20</v>
      </c>
    </row>
    <row r="6" spans="1:3" x14ac:dyDescent="0.25">
      <c r="A6" s="98"/>
      <c r="B6" s="3" t="s">
        <v>15</v>
      </c>
      <c r="C6" s="54">
        <v>5</v>
      </c>
    </row>
    <row r="7" spans="1:3" x14ac:dyDescent="0.25">
      <c r="A7" s="98"/>
      <c r="B7" s="58" t="s">
        <v>3</v>
      </c>
      <c r="C7" s="59">
        <v>30</v>
      </c>
    </row>
    <row r="8" spans="1:3" x14ac:dyDescent="0.25">
      <c r="A8" s="99"/>
      <c r="B8" s="58" t="s">
        <v>4</v>
      </c>
      <c r="C8" s="59">
        <v>10</v>
      </c>
    </row>
    <row r="9" spans="1:3" x14ac:dyDescent="0.25">
      <c r="A9" s="8"/>
      <c r="B9" s="11"/>
      <c r="C9" s="10"/>
    </row>
    <row r="10" spans="1:3" ht="15" customHeight="1" x14ac:dyDescent="0.25">
      <c r="A10" s="90" t="s">
        <v>18</v>
      </c>
      <c r="B10" s="47" t="s">
        <v>5</v>
      </c>
      <c r="C10" s="48">
        <v>20</v>
      </c>
    </row>
    <row r="11" spans="1:3" ht="15" customHeight="1" x14ac:dyDescent="0.25">
      <c r="A11" s="91"/>
      <c r="B11" s="47" t="s">
        <v>6</v>
      </c>
      <c r="C11" s="48">
        <v>15</v>
      </c>
    </row>
    <row r="12" spans="1:3" x14ac:dyDescent="0.25">
      <c r="A12" s="91"/>
      <c r="B12" s="47" t="s">
        <v>7</v>
      </c>
      <c r="C12" s="48">
        <v>20</v>
      </c>
    </row>
    <row r="13" spans="1:3" x14ac:dyDescent="0.25">
      <c r="A13" s="91"/>
      <c r="B13" s="3" t="s">
        <v>15</v>
      </c>
      <c r="C13" s="53">
        <v>5</v>
      </c>
    </row>
    <row r="14" spans="1:3" ht="30" x14ac:dyDescent="0.25">
      <c r="A14" s="92"/>
      <c r="B14" s="47" t="s">
        <v>8</v>
      </c>
      <c r="C14" s="48">
        <v>40</v>
      </c>
    </row>
    <row r="15" spans="1:3" x14ac:dyDescent="0.25">
      <c r="A15" s="8"/>
      <c r="B15" s="7"/>
      <c r="C15" s="10"/>
    </row>
    <row r="16" spans="1:3" ht="15" customHeight="1" x14ac:dyDescent="0.25">
      <c r="A16" s="102" t="s">
        <v>19</v>
      </c>
      <c r="B16" s="51" t="s">
        <v>9</v>
      </c>
      <c r="C16" s="52">
        <v>15</v>
      </c>
    </row>
    <row r="17" spans="1:3" ht="15.75" x14ac:dyDescent="0.25">
      <c r="A17" s="103"/>
      <c r="B17" s="51" t="s">
        <v>10</v>
      </c>
      <c r="C17" s="52">
        <v>15</v>
      </c>
    </row>
    <row r="18" spans="1:3" ht="31.5" x14ac:dyDescent="0.25">
      <c r="A18" s="103"/>
      <c r="B18" s="51" t="s">
        <v>11</v>
      </c>
      <c r="C18" s="52">
        <v>25</v>
      </c>
    </row>
    <row r="19" spans="1:3" x14ac:dyDescent="0.25">
      <c r="A19" s="103"/>
      <c r="B19" s="3" t="s">
        <v>15</v>
      </c>
      <c r="C19" s="50">
        <v>5</v>
      </c>
    </row>
    <row r="20" spans="1:3" ht="31.5" x14ac:dyDescent="0.25">
      <c r="A20" s="103"/>
      <c r="B20" s="51" t="s">
        <v>12</v>
      </c>
      <c r="C20" s="52">
        <v>15</v>
      </c>
    </row>
    <row r="21" spans="1:3" ht="31.5" x14ac:dyDescent="0.25">
      <c r="A21" s="103"/>
      <c r="B21" s="51" t="s">
        <v>13</v>
      </c>
      <c r="C21" s="52">
        <v>10</v>
      </c>
    </row>
    <row r="22" spans="1:3" ht="15.75" x14ac:dyDescent="0.25">
      <c r="A22" s="104"/>
      <c r="B22" s="51" t="s">
        <v>14</v>
      </c>
      <c r="C22" s="52">
        <v>15</v>
      </c>
    </row>
    <row r="24" spans="1:3" ht="18.75" x14ac:dyDescent="0.3">
      <c r="A24" s="100" t="s">
        <v>20</v>
      </c>
      <c r="B24" s="96"/>
      <c r="C24" s="96"/>
    </row>
    <row r="25" spans="1:3" ht="15" customHeight="1" x14ac:dyDescent="0.25">
      <c r="A25" s="101" t="s">
        <v>17</v>
      </c>
      <c r="B25" s="55" t="s">
        <v>21</v>
      </c>
      <c r="C25" s="56">
        <v>10</v>
      </c>
    </row>
    <row r="26" spans="1:3" x14ac:dyDescent="0.25">
      <c r="A26" s="98"/>
      <c r="B26" s="55" t="s">
        <v>22</v>
      </c>
      <c r="C26" s="56">
        <v>15</v>
      </c>
    </row>
    <row r="27" spans="1:3" x14ac:dyDescent="0.25">
      <c r="A27" s="98"/>
      <c r="B27" s="55" t="s">
        <v>23</v>
      </c>
      <c r="C27" s="56">
        <v>15</v>
      </c>
    </row>
    <row r="28" spans="1:3" x14ac:dyDescent="0.25">
      <c r="A28" s="98"/>
      <c r="B28" s="55" t="s">
        <v>24</v>
      </c>
      <c r="C28" s="56">
        <v>15</v>
      </c>
    </row>
    <row r="29" spans="1:3" x14ac:dyDescent="0.25">
      <c r="A29" s="98"/>
      <c r="B29" s="3" t="s">
        <v>25</v>
      </c>
      <c r="C29" s="56">
        <v>5</v>
      </c>
    </row>
    <row r="30" spans="1:3" ht="15.95" customHeight="1" x14ac:dyDescent="0.25">
      <c r="A30" s="98"/>
      <c r="B30" s="55" t="s">
        <v>26</v>
      </c>
      <c r="C30" s="56">
        <v>10</v>
      </c>
    </row>
    <row r="31" spans="1:3" ht="15.95" customHeight="1" x14ac:dyDescent="0.25">
      <c r="A31" s="98"/>
      <c r="B31" s="4" t="s">
        <v>27</v>
      </c>
      <c r="C31" s="56">
        <v>5</v>
      </c>
    </row>
    <row r="32" spans="1:3" x14ac:dyDescent="0.25">
      <c r="A32" s="98"/>
      <c r="B32" s="4" t="s">
        <v>28</v>
      </c>
      <c r="C32" s="56">
        <v>20</v>
      </c>
    </row>
    <row r="33" spans="1:3" x14ac:dyDescent="0.25">
      <c r="A33" s="99"/>
      <c r="B33" s="3" t="s">
        <v>29</v>
      </c>
      <c r="C33" s="56">
        <v>5</v>
      </c>
    </row>
    <row r="34" spans="1:3" x14ac:dyDescent="0.25">
      <c r="A34" s="8"/>
      <c r="B34" s="7"/>
      <c r="C34" s="6"/>
    </row>
    <row r="35" spans="1:3" ht="15" customHeight="1" x14ac:dyDescent="0.25">
      <c r="A35" s="90" t="s">
        <v>18</v>
      </c>
      <c r="B35" s="47" t="s">
        <v>30</v>
      </c>
      <c r="C35" s="48">
        <v>10</v>
      </c>
    </row>
    <row r="36" spans="1:3" x14ac:dyDescent="0.25">
      <c r="A36" s="91"/>
      <c r="B36" s="47" t="s">
        <v>31</v>
      </c>
      <c r="C36" s="48">
        <v>15</v>
      </c>
    </row>
    <row r="37" spans="1:3" x14ac:dyDescent="0.25">
      <c r="A37" s="91"/>
      <c r="B37" s="47" t="s">
        <v>32</v>
      </c>
      <c r="C37" s="48">
        <v>15</v>
      </c>
    </row>
    <row r="38" spans="1:3" x14ac:dyDescent="0.25">
      <c r="A38" s="91"/>
      <c r="B38" s="47" t="s">
        <v>33</v>
      </c>
      <c r="C38" s="48">
        <v>15</v>
      </c>
    </row>
    <row r="39" spans="1:3" x14ac:dyDescent="0.25">
      <c r="A39" s="91"/>
      <c r="B39" s="3" t="s">
        <v>25</v>
      </c>
      <c r="C39" s="9">
        <v>5</v>
      </c>
    </row>
    <row r="40" spans="1:3" x14ac:dyDescent="0.25">
      <c r="A40" s="91"/>
      <c r="B40" s="47" t="s">
        <v>34</v>
      </c>
      <c r="C40" s="48">
        <v>10</v>
      </c>
    </row>
    <row r="41" spans="1:3" x14ac:dyDescent="0.25">
      <c r="A41" s="91"/>
      <c r="B41" s="47" t="s">
        <v>35</v>
      </c>
      <c r="C41" s="48">
        <v>10</v>
      </c>
    </row>
    <row r="42" spans="1:3" x14ac:dyDescent="0.25">
      <c r="A42" s="91"/>
      <c r="B42" s="4" t="s">
        <v>27</v>
      </c>
      <c r="C42" s="9">
        <v>5</v>
      </c>
    </row>
    <row r="43" spans="1:3" x14ac:dyDescent="0.25">
      <c r="A43" s="91"/>
      <c r="B43" s="57" t="s">
        <v>28</v>
      </c>
      <c r="C43" s="48">
        <v>10</v>
      </c>
    </row>
    <row r="44" spans="1:3" x14ac:dyDescent="0.25">
      <c r="A44" s="92"/>
      <c r="B44" s="3" t="s">
        <v>29</v>
      </c>
      <c r="C44" s="9">
        <v>5</v>
      </c>
    </row>
    <row r="45" spans="1:3" x14ac:dyDescent="0.25">
      <c r="A45" s="8"/>
      <c r="B45" s="7"/>
      <c r="C45" s="6"/>
    </row>
    <row r="46" spans="1:3" ht="15" customHeight="1" x14ac:dyDescent="0.25">
      <c r="A46" s="93" t="s">
        <v>19</v>
      </c>
      <c r="B46" s="49" t="s">
        <v>36</v>
      </c>
      <c r="C46" s="50">
        <v>15</v>
      </c>
    </row>
    <row r="47" spans="1:3" x14ac:dyDescent="0.25">
      <c r="A47" s="94"/>
      <c r="B47" s="49" t="s">
        <v>37</v>
      </c>
      <c r="C47" s="50">
        <v>15</v>
      </c>
    </row>
    <row r="48" spans="1:3" x14ac:dyDescent="0.25">
      <c r="A48" s="94"/>
      <c r="B48" s="49" t="s">
        <v>38</v>
      </c>
      <c r="C48" s="50">
        <v>25</v>
      </c>
    </row>
    <row r="49" spans="1:3" x14ac:dyDescent="0.25">
      <c r="A49" s="94"/>
      <c r="B49" s="3" t="s">
        <v>25</v>
      </c>
      <c r="C49" s="50">
        <v>5</v>
      </c>
    </row>
    <row r="50" spans="1:3" x14ac:dyDescent="0.25">
      <c r="A50" s="94"/>
      <c r="B50" s="5" t="s">
        <v>27</v>
      </c>
      <c r="C50" s="50">
        <v>5</v>
      </c>
    </row>
    <row r="51" spans="1:3" x14ac:dyDescent="0.25">
      <c r="A51" s="94"/>
      <c r="B51" s="49" t="s">
        <v>39</v>
      </c>
      <c r="C51" s="50">
        <v>10</v>
      </c>
    </row>
    <row r="52" spans="1:3" x14ac:dyDescent="0.25">
      <c r="A52" s="94"/>
      <c r="B52" s="4" t="s">
        <v>28</v>
      </c>
      <c r="C52" s="50">
        <v>20</v>
      </c>
    </row>
    <row r="53" spans="1:3" x14ac:dyDescent="0.25">
      <c r="A53" s="95"/>
      <c r="B53" s="3" t="s">
        <v>29</v>
      </c>
      <c r="C53" s="50">
        <v>5</v>
      </c>
    </row>
  </sheetData>
  <sheetProtection sheet="1" objects="1" scenarios="1"/>
  <mergeCells count="8">
    <mergeCell ref="A35:A44"/>
    <mergeCell ref="A46:A53"/>
    <mergeCell ref="A2:C2"/>
    <mergeCell ref="A3:A8"/>
    <mergeCell ref="A10:A14"/>
    <mergeCell ref="A24:C24"/>
    <mergeCell ref="A25:A33"/>
    <mergeCell ref="A16:A22"/>
  </mergeCells>
  <pageMargins left="0.7" right="0.7" top="0.75" bottom="0.75" header="0.3" footer="0.3"/>
  <pageSetup paperSize="9" scale="3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Note</vt:lpstr>
      <vt:lpstr>Tableau de bord</vt:lpstr>
      <vt:lpstr>Mon année</vt:lpstr>
      <vt:lpstr>Coef - BUT1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Jérémie Vang-Sy NDJOYE</dc:creator>
  <cp:keywords/>
  <dc:description/>
  <cp:lastModifiedBy>Antonin Vion</cp:lastModifiedBy>
  <cp:revision/>
  <dcterms:created xsi:type="dcterms:W3CDTF">2024-12-12T08:49:03Z</dcterms:created>
  <dcterms:modified xsi:type="dcterms:W3CDTF">2025-01-08T16:44:21Z</dcterms:modified>
  <cp:category/>
  <cp:contentStatus/>
</cp:coreProperties>
</file>